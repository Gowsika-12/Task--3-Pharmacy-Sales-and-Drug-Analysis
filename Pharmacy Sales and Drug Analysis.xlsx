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0B9571E6B1A739/Documents/"/>
    </mc:Choice>
  </mc:AlternateContent>
  <xr:revisionPtr revIDLastSave="745" documentId="8_{8E7387AB-C436-414C-A523-21665445D8AA}" xr6:coauthVersionLast="47" xr6:coauthVersionMax="47" xr10:uidLastSave="{04855C23-2496-4A1A-B284-082AC6F7FD59}"/>
  <bookViews>
    <workbookView xWindow="-108" yWindow="-108" windowWidth="23256" windowHeight="12576" activeTab="2" xr2:uid="{00000000-000D-0000-FFFF-FFFF00000000}"/>
  </bookViews>
  <sheets>
    <sheet name="Raw_Data" sheetId="1" r:id="rId1"/>
    <sheet name="Pivot Table" sheetId="2" r:id="rId2"/>
    <sheet name="Dash board" sheetId="3" r:id="rId3"/>
  </sheets>
  <definedNames>
    <definedName name="_xlnm._FilterDatabase" localSheetId="0" hidden="1">Raw_Data!$A$1:$I$301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</calcChain>
</file>

<file path=xl/sharedStrings.xml><?xml version="1.0" encoding="utf-8"?>
<sst xmlns="http://schemas.openxmlformats.org/spreadsheetml/2006/main" count="1296" uniqueCount="364">
  <si>
    <t>Sale_ID</t>
  </si>
  <si>
    <t>Date</t>
  </si>
  <si>
    <t>Medicine</t>
  </si>
  <si>
    <t>Category</t>
  </si>
  <si>
    <t>Type</t>
  </si>
  <si>
    <t>Quantity_Sold</t>
  </si>
  <si>
    <t>Unit_Price</t>
  </si>
  <si>
    <t>Total_Sales</t>
  </si>
  <si>
    <t>S0001</t>
  </si>
  <si>
    <t>Augmentin 625mg</t>
  </si>
  <si>
    <t>Antibiotic</t>
  </si>
  <si>
    <t>Branded</t>
  </si>
  <si>
    <t>S0002</t>
  </si>
  <si>
    <t>Glucophage 500mg</t>
  </si>
  <si>
    <t>Antidiabetic</t>
  </si>
  <si>
    <t>S0003</t>
  </si>
  <si>
    <t>Ventolin Inhaler</t>
  </si>
  <si>
    <t>Respiratory</t>
  </si>
  <si>
    <t>S0004</t>
  </si>
  <si>
    <t>Paracetamol 500mg</t>
  </si>
  <si>
    <t>Analgesic</t>
  </si>
  <si>
    <t>Generic</t>
  </si>
  <si>
    <t>S0005</t>
  </si>
  <si>
    <t>Euthyrox 50mcg</t>
  </si>
  <si>
    <t>Thyroid</t>
  </si>
  <si>
    <t>S0006</t>
  </si>
  <si>
    <t>S0007</t>
  </si>
  <si>
    <t>Amlodipine 5mg</t>
  </si>
  <si>
    <t>Antihypertensive</t>
  </si>
  <si>
    <t>S0008</t>
  </si>
  <si>
    <t>Azithromycin 500mg</t>
  </si>
  <si>
    <t>S0009</t>
  </si>
  <si>
    <t>Amoxicillin 500mg</t>
  </si>
  <si>
    <t>S0010</t>
  </si>
  <si>
    <t>S0011</t>
  </si>
  <si>
    <t>Lipitor 20mg</t>
  </si>
  <si>
    <t>Statin</t>
  </si>
  <si>
    <t>S0012</t>
  </si>
  <si>
    <t>Cetirizine 10mg</t>
  </si>
  <si>
    <t>Antihistamine</t>
  </si>
  <si>
    <t>S0013</t>
  </si>
  <si>
    <t>Ibuprofen 400mg</t>
  </si>
  <si>
    <t>S0014</t>
  </si>
  <si>
    <t>S0015</t>
  </si>
  <si>
    <t>Metformin 500mg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</si>
  <si>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</si>
  <si>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</si>
  <si>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</si>
  <si>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</si>
  <si>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</si>
  <si>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</si>
  <si>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</si>
  <si>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</si>
  <si>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Panadol Extra</t>
  </si>
  <si>
    <t>S0024</t>
  </si>
  <si>
    <t>Atorvastatin 20mg</t>
  </si>
  <si>
    <t>S0025</t>
  </si>
  <si>
    <t>Levothyroxine 50mcg</t>
  </si>
  <si>
    <t>S0026</t>
  </si>
  <si>
    <t>Zyrtec 10mg</t>
  </si>
  <si>
    <t>S0027</t>
  </si>
  <si>
    <t>S0028</t>
  </si>
  <si>
    <t>S0029</t>
  </si>
  <si>
    <t>Nexium 40mg</t>
  </si>
  <si>
    <t>Gastrointestinal</t>
  </si>
  <si>
    <t>S0030</t>
  </si>
  <si>
    <t>S0031</t>
  </si>
  <si>
    <t>S0032</t>
  </si>
  <si>
    <t>S0033</t>
  </si>
  <si>
    <t>S0034</t>
  </si>
  <si>
    <t>Salbutamol Inhaler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</si>
  <si>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</si>
  <si>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</si>
  <si>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</si>
  <si>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</si>
  <si>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</si>
  <si>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</si>
  <si>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</si>
  <si>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</si>
  <si>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</si>
  <si>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</si>
  <si>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</si>
  <si>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Norvasc 5mg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</si>
  <si>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</si>
  <si>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</si>
  <si>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</si>
  <si>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</si>
  <si>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</si>
  <si>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</si>
  <si>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</si>
  <si>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</si>
  <si>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</si>
  <si>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</si>
  <si>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</si>
  <si>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</si>
  <si>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</si>
  <si>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</si>
  <si>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</si>
  <si>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</si>
  <si>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</si>
  <si>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</si>
  <si>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</si>
  <si>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</si>
  <si>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</si>
  <si>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</si>
  <si>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</si>
  <si>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</si>
  <si>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</si>
  <si>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</si>
  <si>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</si>
  <si>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</si>
  <si>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</si>
  <si>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</si>
  <si>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</si>
  <si>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</si>
  <si>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</si>
  <si>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</si>
  <si>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</si>
  <si>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</si>
  <si>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</si>
  <si>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</si>
  <si>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</si>
  <si>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</si>
  <si>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</si>
  <si>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</si>
  <si>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</si>
  <si>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</si>
  <si>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</si>
  <si>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</si>
  <si>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</si>
  <si>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</si>
  <si>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</si>
  <si>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</si>
  <si>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</si>
  <si>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</si>
  <si>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</si>
  <si>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</si>
  <si>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</si>
  <si>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</si>
  <si>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</si>
  <si>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</si>
  <si>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</si>
  <si>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</si>
  <si>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</si>
  <si>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</si>
  <si>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</si>
  <si>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</si>
  <si>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</si>
  <si>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</si>
  <si>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</si>
  <si>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</si>
  <si>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</si>
  <si>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</si>
  <si>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</si>
  <si>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</si>
  <si>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</si>
  <si>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</si>
  <si>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Omeprazole 20mg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</si>
  <si>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</si>
  <si>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</si>
  <si>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</si>
  <si>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</si>
  <si>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</si>
  <si>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</si>
  <si>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</si>
  <si>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</si>
  <si>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</si>
  <si>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</si>
  <si>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</si>
  <si>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</si>
  <si>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</si>
  <si>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</si>
  <si>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</si>
  <si>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</si>
  <si>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</si>
  <si>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</si>
  <si>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</si>
  <si>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</si>
  <si>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</si>
  <si>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</si>
  <si>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</si>
  <si>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</si>
  <si>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</si>
  <si>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</si>
  <si>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</si>
  <si>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</si>
  <si>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</si>
  <si>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</si>
  <si>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</si>
  <si>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</si>
  <si>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</si>
  <si>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</si>
  <si>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</si>
  <si>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</si>
  <si>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</si>
  <si>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</si>
  <si>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</si>
  <si>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</si>
  <si>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</si>
  <si>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</si>
  <si>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</si>
  <si>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</si>
  <si>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</si>
  <si>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</si>
  <si>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</si>
  <si>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</si>
  <si>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</si>
  <si>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</si>
  <si>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</si>
  <si>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</si>
  <si>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</si>
  <si>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</si>
  <si>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</si>
  <si>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</si>
  <si>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</si>
  <si>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</si>
  <si>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</si>
  <si>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</si>
  <si>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</si>
  <si>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</si>
  <si>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</si>
  <si>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</si>
  <si>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</si>
  <si>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</si>
  <si>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</si>
  <si>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</si>
  <si>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</si>
  <si>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</si>
  <si>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</si>
  <si>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</si>
  <si>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</si>
  <si>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</si>
  <si>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</si>
  <si>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</si>
  <si>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</si>
  <si>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</si>
  <si>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</si>
  <si>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</si>
  <si>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</si>
  <si>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</si>
  <si>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</si>
  <si>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</si>
  <si>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</si>
  <si>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</si>
  <si>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</si>
  <si>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</si>
  <si>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</si>
  <si>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</si>
  <si>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</si>
  <si>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</si>
  <si>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</si>
  <si>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</si>
  <si>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</si>
  <si>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</si>
  <si>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</si>
  <si>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</si>
  <si>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</si>
  <si>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</si>
  <si>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</si>
  <si>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</si>
  <si>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</si>
  <si>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</si>
  <si>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</si>
  <si>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</si>
  <si>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</si>
  <si>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</si>
  <si>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</si>
  <si>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</si>
  <si>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</si>
  <si>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</si>
  <si>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</si>
  <si>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</si>
  <si>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</si>
  <si>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</si>
  <si>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</si>
  <si>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</si>
  <si>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</si>
  <si>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</si>
  <si>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</si>
  <si>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</si>
  <si>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</si>
  <si>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</si>
  <si>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</si>
  <si>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</si>
  <si>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</si>
  <si>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</si>
  <si>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</si>
  <si>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</si>
  <si>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</si>
  <si>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</si>
  <si>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</si>
  <si>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</si>
  <si>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</si>
  <si>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</si>
  <si>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</si>
  <si>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</si>
  <si>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</si>
  <si>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</si>
  <si>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</si>
  <si>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</si>
  <si>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</si>
  <si>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</si>
  <si>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</si>
  <si>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</si>
  <si>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</si>
  <si>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</si>
  <si>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</si>
  <si>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</si>
  <si>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</si>
  <si>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</si>
  <si>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</si>
  <si>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</si>
  <si>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</si>
  <si>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</si>
  <si>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</si>
  <si>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</si>
  <si>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</si>
  <si>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</si>
  <si>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</si>
  <si>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</si>
  <si>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</si>
  <si>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</si>
  <si>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</si>
  <si>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</si>
  <si>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</si>
  <si>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</si>
  <si>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</si>
  <si>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</si>
  <si>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</si>
  <si>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</si>
  <si>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</si>
  <si>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</si>
  <si>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</si>
  <si>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</si>
  <si>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</si>
  <si>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</si>
  <si>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</si>
  <si>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</si>
  <si>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</si>
  <si>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Row Labels</t>
  </si>
  <si>
    <t>Grand Total</t>
  </si>
  <si>
    <t>Sum of Quantity_Sold</t>
  </si>
  <si>
    <t>Amlodipine 5mg is top selling medicine</t>
  </si>
  <si>
    <t>Sum of Total_Sales</t>
  </si>
  <si>
    <t xml:space="preserve">Total Quantity </t>
  </si>
  <si>
    <t>Total Sales</t>
  </si>
  <si>
    <t xml:space="preserve">Ventolin Inhaler generates highest revenue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</si>
  <si>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</si>
  <si>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</si>
  <si>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</si>
  <si>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</si>
  <si>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</si>
  <si>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</si>
  <si>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</si>
  <si>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</si>
  <si>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</si>
  <si>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</si>
  <si>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</si>
  <si>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Total monthly sales</t>
  </si>
  <si>
    <t>Feb is highest sales</t>
  </si>
  <si>
    <t>Total Revenue</t>
  </si>
  <si>
    <t>Total Quantity Sold</t>
  </si>
  <si>
    <t>Total Transactions</t>
  </si>
  <si>
    <t>Number of 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</si>
</sst>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&quot;AED&quot;#,##0.00"/>
    <numFmt numFmtId="166" formatCode="&quot;AED&quot;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left" vertical="center" indent="1"/>
    </xf>
    <xf numFmtId="0" fontId="0" fillId="2" borderId="0" xfId="0" applyFill="1"/>
    <xf numFmtId="166" fontId="3" fillId="3" borderId="1" xfId="0" applyNumberFormat="1" applyFont="1" applyFill="1" applyBorder="1"/>
    <xf numFmtId="0" fontId="3" fillId="3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12">
    <dxf>
      <numFmt numFmtId="0" formatCode="General"/>
    </dxf>
    <dxf>
      <numFmt numFmtId="165" formatCode="&quot;AED&quot;#,##0.00"/>
    </dxf>
    <dxf>
      <numFmt numFmtId="166" formatCode="&quot;AED&quot;#,##0"/>
    </dxf>
    <dxf>
      <numFmt numFmtId="166" formatCode="&quot;AED&quot;#,##0"/>
    </dxf>
    <dxf>
      <numFmt numFmtId="165" formatCode="&quot;AED&quot;#,##0.00"/>
    </dxf>
    <dxf>
      <numFmt numFmtId="166" formatCode="&quot;AED&quot;#,##0"/>
    </dxf>
    <dxf>
      <numFmt numFmtId="165" formatCode="&quot;AED&quot;#,##0.00"/>
    </dxf>
    <dxf>
      <numFmt numFmtId="165" formatCode="&quot;AED&quot;#,##0.00"/>
    </dxf>
    <dxf>
      <numFmt numFmtId="165" formatCode="&quot;AED&quot;#,##0.00"/>
    </dxf>
    <dxf>
      <numFmt numFmtId="165" formatCode="&quot;AED&quot;#,##0.00"/>
    </dxf>
    <dxf>
      <numFmt numFmtId="165" formatCode="&quot;AED&quot;#,##0.00"/>
    </dxf>
    <dxf>
      <numFmt numFmtId="165" formatCode="&quot;AED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 Sales and Drug Analysis.xlsx]Pivot Table!PivotTable2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Table'!$E$15:$E$35</c:f>
              <c:strCache>
                <c:ptCount val="20"/>
                <c:pt idx="0">
                  <c:v>Amlodipine 5mg</c:v>
                </c:pt>
                <c:pt idx="1">
                  <c:v>Ventolin Inhaler</c:v>
                </c:pt>
                <c:pt idx="2">
                  <c:v>Augmentin 625mg</c:v>
                </c:pt>
                <c:pt idx="3">
                  <c:v>Glucophage 500mg</c:v>
                </c:pt>
                <c:pt idx="4">
                  <c:v>Cetirizine 10mg</c:v>
                </c:pt>
                <c:pt idx="5">
                  <c:v>Norvasc 5mg</c:v>
                </c:pt>
                <c:pt idx="6">
                  <c:v>Metformin 500mg</c:v>
                </c:pt>
                <c:pt idx="7">
                  <c:v>Zyrtec 10mg</c:v>
                </c:pt>
                <c:pt idx="8">
                  <c:v>Azithromycin 500mg</c:v>
                </c:pt>
                <c:pt idx="9">
                  <c:v>Levothyroxine 50mcg</c:v>
                </c:pt>
                <c:pt idx="10">
                  <c:v>Ibuprofen 400mg</c:v>
                </c:pt>
                <c:pt idx="11">
                  <c:v>Paracetamol 500mg</c:v>
                </c:pt>
                <c:pt idx="12">
                  <c:v>Salbutamol Inhaler</c:v>
                </c:pt>
                <c:pt idx="13">
                  <c:v>Euthyrox 50mcg</c:v>
                </c:pt>
                <c:pt idx="14">
                  <c:v>Panadol Extra</c:v>
                </c:pt>
                <c:pt idx="15">
                  <c:v>Nexium 40mg</c:v>
                </c:pt>
                <c:pt idx="16">
                  <c:v>Omeprazole 20mg</c:v>
                </c:pt>
                <c:pt idx="17">
                  <c:v>Amoxicillin 500mg</c:v>
                </c:pt>
                <c:pt idx="18">
                  <c:v>Atorvastatin 20mg</c:v>
                </c:pt>
                <c:pt idx="19">
                  <c:v>Lipitor 20mg</c:v>
                </c:pt>
              </c:strCache>
            </c:strRef>
          </c:cat>
          <c:val>
            <c:numRef>
              <c:f>'Pivot Table'!$F$15:$F$35</c:f>
              <c:numCache>
                <c:formatCode>General</c:formatCode>
                <c:ptCount val="20"/>
                <c:pt idx="0">
                  <c:v>2316</c:v>
                </c:pt>
                <c:pt idx="1">
                  <c:v>1951</c:v>
                </c:pt>
                <c:pt idx="2">
                  <c:v>1901</c:v>
                </c:pt>
                <c:pt idx="3">
                  <c:v>1885</c:v>
                </c:pt>
                <c:pt idx="4">
                  <c:v>1854</c:v>
                </c:pt>
                <c:pt idx="5">
                  <c:v>1840</c:v>
                </c:pt>
                <c:pt idx="6">
                  <c:v>1557</c:v>
                </c:pt>
                <c:pt idx="7">
                  <c:v>1518</c:v>
                </c:pt>
                <c:pt idx="8">
                  <c:v>1448</c:v>
                </c:pt>
                <c:pt idx="9">
                  <c:v>1425</c:v>
                </c:pt>
                <c:pt idx="10">
                  <c:v>1349</c:v>
                </c:pt>
                <c:pt idx="11">
                  <c:v>1298</c:v>
                </c:pt>
                <c:pt idx="12">
                  <c:v>1223</c:v>
                </c:pt>
                <c:pt idx="13">
                  <c:v>1208</c:v>
                </c:pt>
                <c:pt idx="14">
                  <c:v>1133</c:v>
                </c:pt>
                <c:pt idx="15">
                  <c:v>1098</c:v>
                </c:pt>
                <c:pt idx="16">
                  <c:v>1029</c:v>
                </c:pt>
                <c:pt idx="17">
                  <c:v>972</c:v>
                </c:pt>
                <c:pt idx="18">
                  <c:v>952</c:v>
                </c:pt>
                <c:pt idx="19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4-4B86-BBCD-E184C1F9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067423"/>
        <c:axId val="971802879"/>
      </c:barChart>
      <c:catAx>
        <c:axId val="9390674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02879"/>
        <c:crosses val="autoZero"/>
        <c:auto val="1"/>
        <c:lblAlgn val="ctr"/>
        <c:lblOffset val="100"/>
        <c:noMultiLvlLbl val="0"/>
      </c:catAx>
      <c:valAx>
        <c:axId val="9718028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 Sales and Drug Analysis.xlsx]Pivot Table!PivotTable3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92520534519202"/>
          <c:y val="0.16544181977252842"/>
          <c:w val="0.77212864154007066"/>
          <c:h val="0.33057174103237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Table'!$I$14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Table'!$H$15:$H$35</c:f>
              <c:strCache>
                <c:ptCount val="20"/>
                <c:pt idx="0">
                  <c:v>Ventolin Inhaler</c:v>
                </c:pt>
                <c:pt idx="1">
                  <c:v>Augmentin 625mg</c:v>
                </c:pt>
                <c:pt idx="2">
                  <c:v>Glucophage 500mg</c:v>
                </c:pt>
                <c:pt idx="3">
                  <c:v>Norvasc 5mg</c:v>
                </c:pt>
                <c:pt idx="4">
                  <c:v>Nexium 40mg</c:v>
                </c:pt>
                <c:pt idx="5">
                  <c:v>Euthyrox 50mcg</c:v>
                </c:pt>
                <c:pt idx="6">
                  <c:v>Zyrtec 10mg</c:v>
                </c:pt>
                <c:pt idx="7">
                  <c:v>Salbutamol Inhaler</c:v>
                </c:pt>
                <c:pt idx="8">
                  <c:v>Azithromycin 500mg</c:v>
                </c:pt>
                <c:pt idx="9">
                  <c:v>Amlodipine 5mg</c:v>
                </c:pt>
                <c:pt idx="10">
                  <c:v>Panadol Extra</c:v>
                </c:pt>
                <c:pt idx="11">
                  <c:v>Levothyroxine 50mcg</c:v>
                </c:pt>
                <c:pt idx="12">
                  <c:v>Metformin 500mg</c:v>
                </c:pt>
                <c:pt idx="13">
                  <c:v>Lipitor 20mg</c:v>
                </c:pt>
                <c:pt idx="14">
                  <c:v>Cetirizine 10mg</c:v>
                </c:pt>
                <c:pt idx="15">
                  <c:v>Atorvastatin 20mg</c:v>
                </c:pt>
                <c:pt idx="16">
                  <c:v>Ibuprofen 400mg</c:v>
                </c:pt>
                <c:pt idx="17">
                  <c:v>Amoxicillin 500mg</c:v>
                </c:pt>
                <c:pt idx="18">
                  <c:v>Omeprazole 20mg</c:v>
                </c:pt>
                <c:pt idx="19">
                  <c:v>Paracetamol 500mg</c:v>
                </c:pt>
              </c:strCache>
            </c:strRef>
          </c:cat>
          <c:val>
            <c:numRef>
              <c:f>'Pivot Table'!$I$15:$I$35</c:f>
              <c:numCache>
                <c:formatCode>"AED"#,##0</c:formatCode>
                <c:ptCount val="20"/>
                <c:pt idx="0">
                  <c:v>47472.75</c:v>
                </c:pt>
                <c:pt idx="1">
                  <c:v>34879.35</c:v>
                </c:pt>
                <c:pt idx="2">
                  <c:v>28041.799999999996</c:v>
                </c:pt>
                <c:pt idx="3">
                  <c:v>26097.7</c:v>
                </c:pt>
                <c:pt idx="4">
                  <c:v>25243.770000000004</c:v>
                </c:pt>
                <c:pt idx="5">
                  <c:v>20535.809999999998</c:v>
                </c:pt>
                <c:pt idx="6">
                  <c:v>20168.740000000002</c:v>
                </c:pt>
                <c:pt idx="7">
                  <c:v>19945.260000000002</c:v>
                </c:pt>
                <c:pt idx="8">
                  <c:v>16169.89</c:v>
                </c:pt>
                <c:pt idx="9">
                  <c:v>14129.32</c:v>
                </c:pt>
                <c:pt idx="10">
                  <c:v>13537.32</c:v>
                </c:pt>
                <c:pt idx="11">
                  <c:v>13231.92</c:v>
                </c:pt>
                <c:pt idx="12">
                  <c:v>12321.170000000002</c:v>
                </c:pt>
                <c:pt idx="13">
                  <c:v>12045.96</c:v>
                </c:pt>
                <c:pt idx="14">
                  <c:v>11332.34</c:v>
                </c:pt>
                <c:pt idx="15">
                  <c:v>9632.68</c:v>
                </c:pt>
                <c:pt idx="16">
                  <c:v>9544.4700000000012</c:v>
                </c:pt>
                <c:pt idx="17">
                  <c:v>8932.69</c:v>
                </c:pt>
                <c:pt idx="18">
                  <c:v>7256.63</c:v>
                </c:pt>
                <c:pt idx="19">
                  <c:v>6602.4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5-4D50-9EC8-DD5DF3612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0246511"/>
        <c:axId val="971800959"/>
      </c:barChart>
      <c:catAx>
        <c:axId val="87024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00959"/>
        <c:crosses val="autoZero"/>
        <c:auto val="1"/>
        <c:lblAlgn val="ctr"/>
        <c:lblOffset val="100"/>
        <c:noMultiLvlLbl val="0"/>
      </c:catAx>
      <c:valAx>
        <c:axId val="971800959"/>
        <c:scaling>
          <c:orientation val="minMax"/>
        </c:scaling>
        <c:delete val="0"/>
        <c:axPos val="l"/>
        <c:numFmt formatCode="&quot;AED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4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 Sales and Drug Analysis.xlsx]Pivot Table!PivotTable5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2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Table'!$J$37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Table'!$I$38:$I$40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'Pivot Table'!$J$38:$J$40</c:f>
              <c:numCache>
                <c:formatCode>General</c:formatCode>
                <c:ptCount val="2"/>
                <c:pt idx="0">
                  <c:v>13007</c:v>
                </c:pt>
                <c:pt idx="1">
                  <c:v>15423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D6A-81BC-5E06BB858EA3}"/>
            </c:ext>
          </c:extLst>
        </c:ser>
        <c:ser>
          <c:idx val="1"/>
          <c:order val="1"/>
          <c:tx>
            <c:strRef>
              <c:f>'Pivot Table'!$K$37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Table'!$I$38:$I$40</c:f>
              <c:strCache>
                <c:ptCount val="2"/>
                <c:pt idx="0">
                  <c:v>Branded</c:v>
                </c:pt>
                <c:pt idx="1">
                  <c:v>Generic</c:v>
                </c:pt>
              </c:strCache>
            </c:strRef>
          </c:cat>
          <c:val>
            <c:numRef>
              <c:f>'Pivot Table'!$K$38:$K$40</c:f>
              <c:numCache>
                <c:formatCode>"AED"#,##0</c:formatCode>
                <c:ptCount val="2"/>
                <c:pt idx="0">
                  <c:v>228023.20000000007</c:v>
                </c:pt>
                <c:pt idx="1">
                  <c:v>129098.77000000009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B-4D6A-81BC-5E06BB85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6977007"/>
        <c:axId val="971795199"/>
        <c:axId val="0"/>
      </c:bar3DChart>
      <c:catAx>
        <c:axId val="101697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95199"/>
        <c:crosses val="autoZero"/>
        <c:auto val="1"/>
        <c:lblAlgn val="ctr"/>
        <c:lblOffset val="100"/>
        <c:noMultiLvlLbl val="0"/>
      </c:catAx>
      <c:valAx>
        <c:axId val="971795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7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 Sales and Drug Analysis.xlsx]Pivot Table!PivotTable6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Table'!$K$21:$K$30</c:f>
              <c:strCache>
                <c:ptCount val="9"/>
                <c:pt idx="0">
                  <c:v>Analgesic</c:v>
                </c:pt>
                <c:pt idx="1">
                  <c:v>Antibiotic</c:v>
                </c:pt>
                <c:pt idx="2">
                  <c:v>Antidiabetic</c:v>
                </c:pt>
                <c:pt idx="3">
                  <c:v>Antihistamine</c:v>
                </c:pt>
                <c:pt idx="4">
                  <c:v>Antihypertensive</c:v>
                </c:pt>
                <c:pt idx="5">
                  <c:v>Gastrointestinal</c:v>
                </c:pt>
                <c:pt idx="6">
                  <c:v>Respiratory</c:v>
                </c:pt>
                <c:pt idx="7">
                  <c:v>Statin</c:v>
                </c:pt>
                <c:pt idx="8">
                  <c:v>Thyroid</c:v>
                </c:pt>
              </c:strCache>
            </c:strRef>
          </c:cat>
          <c:val>
            <c:numRef>
              <c:f>'Pivot Table'!$L$21:$L$30</c:f>
              <c:numCache>
                <c:formatCode>"AED"#,##0.00</c:formatCode>
                <c:ptCount val="9"/>
                <c:pt idx="0">
                  <c:v>29684.19</c:v>
                </c:pt>
                <c:pt idx="1">
                  <c:v>59981.930000000008</c:v>
                </c:pt>
                <c:pt idx="2">
                  <c:v>40362.97</c:v>
                </c:pt>
                <c:pt idx="3">
                  <c:v>31501.08</c:v>
                </c:pt>
                <c:pt idx="4">
                  <c:v>40227.020000000004</c:v>
                </c:pt>
                <c:pt idx="5">
                  <c:v>32500.400000000001</c:v>
                </c:pt>
                <c:pt idx="6">
                  <c:v>67418.009999999995</c:v>
                </c:pt>
                <c:pt idx="7">
                  <c:v>21678.639999999999</c:v>
                </c:pt>
                <c:pt idx="8">
                  <c:v>33767.729999999996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7D-4DD4-8066-B8BD223F2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087343"/>
        <c:axId val="1904847039"/>
      </c:barChart>
      <c:catAx>
        <c:axId val="102208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47039"/>
        <c:crosses val="autoZero"/>
        <c:auto val="1"/>
        <c:lblAlgn val="ctr"/>
        <c:lblOffset val="100"/>
        <c:noMultiLvlLbl val="0"/>
      </c:catAx>
      <c:valAx>
        <c:axId val="1904847039"/>
        <c:scaling>
          <c:orientation val="minMax"/>
        </c:scaling>
        <c:delete val="0"/>
        <c:axPos val="l"/>
        <c:numFmt formatCode="&quot;AED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8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 Sales and Drug Analysis.xlsx]Pivot Table!PivotTable4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shade val="1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shade val="1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shade val="15000"/>
                      </a:schemeClr>
                    </a:solidFill>
                  </a:ln>
                  <a:noFill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845390778117801"/>
          <c:y val="0.15359045688151257"/>
          <c:w val="0.79243401070499386"/>
          <c:h val="0.6319494868530655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Table'!$J$4:$J$15</c:f>
              <c:strCache>
                <c:ptCount val="11"/>
                <c:pt idx="0">
                  <c:v>Feb</c:v>
                </c:pt>
                <c:pt idx="1">
                  <c:v>Jun</c:v>
                </c:pt>
                <c:pt idx="2">
                  <c:v>Jul</c:v>
                </c:pt>
                <c:pt idx="3">
                  <c:v>Oct</c:v>
                </c:pt>
                <c:pt idx="4">
                  <c:v>May</c:v>
                </c:pt>
                <c:pt idx="5">
                  <c:v>Mar</c:v>
                </c:pt>
                <c:pt idx="6">
                  <c:v>Apr</c:v>
                </c:pt>
                <c:pt idx="7">
                  <c:v>Aug</c:v>
                </c:pt>
                <c:pt idx="8">
                  <c:v>Jan</c:v>
                </c:pt>
                <c:pt idx="9">
                  <c:v>Sep</c:v>
                </c:pt>
                <c:pt idx="10">
                  <c:v>Nov</c:v>
                </c:pt>
              </c:strCache>
            </c:strRef>
          </c:cat>
          <c:val>
            <c:numRef>
              <c:f>'Pivot Table'!$K$4:$K$15</c:f>
              <c:numCache>
                <c:formatCode>"AED"#,##0</c:formatCode>
                <c:ptCount val="11"/>
                <c:pt idx="0">
                  <c:v>40706.820000000007</c:v>
                </c:pt>
                <c:pt idx="1">
                  <c:v>40542.979999999996</c:v>
                </c:pt>
                <c:pt idx="2">
                  <c:v>38700.250000000015</c:v>
                </c:pt>
                <c:pt idx="3">
                  <c:v>38107.520000000004</c:v>
                </c:pt>
                <c:pt idx="4">
                  <c:v>36473.769999999997</c:v>
                </c:pt>
                <c:pt idx="5">
                  <c:v>34909.100000000006</c:v>
                </c:pt>
                <c:pt idx="6">
                  <c:v>32944.030000000006</c:v>
                </c:pt>
                <c:pt idx="7">
                  <c:v>31512.23</c:v>
                </c:pt>
                <c:pt idx="8">
                  <c:v>30813.48</c:v>
                </c:pt>
                <c:pt idx="9">
                  <c:v>29729.839999999997</c:v>
                </c:pt>
                <c:pt idx="10">
                  <c:v>2681.95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9042-4E24-9A96-8E876CE0B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6910655"/>
        <c:axId val="971797119"/>
        <c:axId val="0"/>
      </c:bar3DChart>
      <c:catAx>
        <c:axId val="101691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>
                      <a:lumMod val="85000"/>
                    </a:schemeClr>
                  </a:solidFill>
                </a:ln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97119"/>
        <c:crosses val="autoZero"/>
        <c:auto val="1"/>
        <c:lblAlgn val="ctr"/>
        <c:lblOffset val="100"/>
        <c:noMultiLvlLbl val="0"/>
      </c:catAx>
      <c:valAx>
        <c:axId val="971797119"/>
        <c:scaling>
          <c:orientation val="minMax"/>
        </c:scaling>
        <c:delete val="0"/>
        <c:axPos val="l"/>
        <c:numFmt formatCode="&quot;AED&quot;#,##0" sourceLinked="1"/>
        <c:majorTickMark val="none"/>
        <c:minorTickMark val="none"/>
        <c:tickLblPos val="nextTo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shade val="15000"/>
                    </a:schemeClr>
                  </a:solidFill>
                </a:ln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1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solidFill>
              <a:schemeClr val="accent1">
                <a:shade val="15000"/>
              </a:schemeClr>
            </a:solidFill>
          </a:ln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15239</xdr:colOff>
      <xdr:row>37</xdr:row>
      <xdr:rowOff>41263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97F9F0-A019-CE89-DC92-35E3109F56FE}"/>
            </a:ext>
          </a:extLst>
        </xdr:cNvPr>
        <xdr:cNvSpPr/>
      </xdr:nvSpPr>
      <xdr:spPr>
        <a:xfrm>
          <a:off x="0" y="0"/>
          <a:ext cx="14036039" cy="6807823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/>
            <a:t>vv</a:t>
          </a:r>
        </a:p>
      </xdr:txBody>
    </xdr:sp>
    <xdr:clientData/>
  </xdr:twoCellAnchor>
  <xdr:twoCellAnchor>
    <xdr:from>
      <xdr:col>2</xdr:col>
      <xdr:colOff>236220</xdr:colOff>
      <xdr:row>0</xdr:row>
      <xdr:rowOff>45720</xdr:rowOff>
    </xdr:from>
    <xdr:to>
      <xdr:col>18</xdr:col>
      <xdr:colOff>350520</xdr:colOff>
      <xdr:row>3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8455A3-EEF7-EB14-521A-B500A62189ED}"/>
            </a:ext>
          </a:extLst>
        </xdr:cNvPr>
        <xdr:cNvSpPr txBox="1"/>
      </xdr:nvSpPr>
      <xdr:spPr>
        <a:xfrm>
          <a:off x="1455420" y="45720"/>
          <a:ext cx="9867900" cy="609600"/>
        </a:xfrm>
        <a:prstGeom prst="rect">
          <a:avLst/>
        </a:prstGeom>
        <a:gradFill flip="none" rotWithShape="1">
          <a:gsLst>
            <a:gs pos="0">
              <a:schemeClr val="bg2">
                <a:lumMod val="50000"/>
                <a:shade val="30000"/>
                <a:satMod val="115000"/>
              </a:schemeClr>
            </a:gs>
            <a:gs pos="50000">
              <a:schemeClr val="bg2">
                <a:lumMod val="50000"/>
                <a:shade val="67500"/>
                <a:satMod val="115000"/>
              </a:schemeClr>
            </a:gs>
            <a:gs pos="100000">
              <a:schemeClr val="bg2">
                <a:lumMod val="50000"/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E" sz="3600">
              <a:solidFill>
                <a:schemeClr val="tx1"/>
              </a:solidFill>
            </a:rPr>
            <a:t>Pharmacy Sales</a:t>
          </a:r>
          <a:r>
            <a:rPr lang="en-AE" sz="3600" baseline="0">
              <a:solidFill>
                <a:schemeClr val="tx1"/>
              </a:solidFill>
            </a:rPr>
            <a:t> and Drug Analysis Dashboard</a:t>
          </a:r>
          <a:endParaRPr lang="en-AE" sz="36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121920</xdr:colOff>
      <xdr:row>21</xdr:row>
      <xdr:rowOff>45720</xdr:rowOff>
    </xdr:from>
    <xdr:to>
      <xdr:col>6</xdr:col>
      <xdr:colOff>388620</xdr:colOff>
      <xdr:row>34</xdr:row>
      <xdr:rowOff>106680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3E04F0A-20BA-7413-2B17-DA2265B6EB32}"/>
            </a:ext>
          </a:extLst>
        </xdr:cNvPr>
        <xdr:cNvSpPr/>
      </xdr:nvSpPr>
      <xdr:spPr>
        <a:xfrm>
          <a:off x="121920" y="3886200"/>
          <a:ext cx="3924300" cy="2438400"/>
        </a:xfrm>
        <a:prstGeom prst="roundRect">
          <a:avLst/>
        </a:prstGeom>
        <a:gradFill>
          <a:gsLst>
            <a:gs pos="39000">
              <a:schemeClr val="accent3">
                <a:lumMod val="60000"/>
                <a:lumOff val="40000"/>
              </a:schemeClr>
            </a:gs>
            <a:gs pos="74000">
              <a:schemeClr val="accent3">
                <a:lumMod val="75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0</xdr:col>
      <xdr:colOff>137160</xdr:colOff>
      <xdr:row>22</xdr:row>
      <xdr:rowOff>106680</xdr:rowOff>
    </xdr:from>
    <xdr:to>
      <xdr:col>6</xdr:col>
      <xdr:colOff>290812</xdr:colOff>
      <xdr:row>34</xdr:row>
      <xdr:rowOff>164432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D4E25B-FBEC-419D-945C-E7840C9DD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388620</xdr:colOff>
      <xdr:row>6</xdr:row>
      <xdr:rowOff>43046</xdr:rowOff>
    </xdr:from>
    <xdr:to>
      <xdr:col>15</xdr:col>
      <xdr:colOff>541020</xdr:colOff>
      <xdr:row>19</xdr:row>
      <xdr:rowOff>85327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9C9779-076B-4557-82EF-44311C7B81A9}"/>
            </a:ext>
          </a:extLst>
        </xdr:cNvPr>
        <xdr:cNvSpPr/>
      </xdr:nvSpPr>
      <xdr:spPr>
        <a:xfrm>
          <a:off x="5875020" y="1140326"/>
          <a:ext cx="3810000" cy="2419721"/>
        </a:xfrm>
        <a:prstGeom prst="roundRect">
          <a:avLst/>
        </a:prstGeom>
        <a:gradFill>
          <a:gsLst>
            <a:gs pos="39000">
              <a:schemeClr val="accent3">
                <a:lumMod val="60000"/>
                <a:lumOff val="40000"/>
              </a:schemeClr>
            </a:gs>
            <a:gs pos="74000">
              <a:schemeClr val="accent3">
                <a:lumMod val="75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9</xdr:col>
      <xdr:colOff>563879</xdr:colOff>
      <xdr:row>6</xdr:row>
      <xdr:rowOff>160020</xdr:rowOff>
    </xdr:from>
    <xdr:to>
      <xdr:col>15</xdr:col>
      <xdr:colOff>324304</xdr:colOff>
      <xdr:row>19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A22D5F-F7FC-43D3-9D9C-A3ACCF2A0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208548</xdr:colOff>
      <xdr:row>6</xdr:row>
      <xdr:rowOff>7620</xdr:rowOff>
    </xdr:from>
    <xdr:to>
      <xdr:col>22</xdr:col>
      <xdr:colOff>198120</xdr:colOff>
      <xdr:row>19</xdr:row>
      <xdr:rowOff>68580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89B7DC7-0B67-4C68-B1B2-C30AF4553D6C}"/>
            </a:ext>
          </a:extLst>
        </xdr:cNvPr>
        <xdr:cNvSpPr/>
      </xdr:nvSpPr>
      <xdr:spPr>
        <a:xfrm>
          <a:off x="9962148" y="1104900"/>
          <a:ext cx="3647172" cy="2438400"/>
        </a:xfrm>
        <a:prstGeom prst="roundRect">
          <a:avLst/>
        </a:prstGeom>
        <a:gradFill>
          <a:gsLst>
            <a:gs pos="39000">
              <a:schemeClr val="accent3">
                <a:lumMod val="60000"/>
                <a:lumOff val="40000"/>
              </a:schemeClr>
            </a:gs>
            <a:gs pos="74000">
              <a:schemeClr val="accent3">
                <a:lumMod val="75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16</xdr:col>
      <xdr:colOff>365760</xdr:colOff>
      <xdr:row>6</xdr:row>
      <xdr:rowOff>175260</xdr:rowOff>
    </xdr:from>
    <xdr:to>
      <xdr:col>22</xdr:col>
      <xdr:colOff>175260</xdr:colOff>
      <xdr:row>17</xdr:row>
      <xdr:rowOff>106680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928B3B-27FE-453F-A471-2A5D4B8F0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383845</xdr:colOff>
      <xdr:row>21</xdr:row>
      <xdr:rowOff>69662</xdr:rowOff>
    </xdr:from>
    <xdr:to>
      <xdr:col>13</xdr:col>
      <xdr:colOff>542030</xdr:colOff>
      <xdr:row>34</xdr:row>
      <xdr:rowOff>37739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451E3B8-760B-4226-942B-39809FFE9323}"/>
            </a:ext>
          </a:extLst>
        </xdr:cNvPr>
        <xdr:cNvSpPr/>
      </xdr:nvSpPr>
      <xdr:spPr>
        <a:xfrm>
          <a:off x="4651045" y="3910142"/>
          <a:ext cx="3815785" cy="2345517"/>
        </a:xfrm>
        <a:prstGeom prst="roundRect">
          <a:avLst/>
        </a:prstGeom>
        <a:gradFill>
          <a:gsLst>
            <a:gs pos="39000">
              <a:schemeClr val="accent3">
                <a:lumMod val="60000"/>
                <a:lumOff val="40000"/>
              </a:schemeClr>
            </a:gs>
            <a:gs pos="74000">
              <a:schemeClr val="accent3">
                <a:lumMod val="75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7</xdr:col>
      <xdr:colOff>441960</xdr:colOff>
      <xdr:row>21</xdr:row>
      <xdr:rowOff>144780</xdr:rowOff>
    </xdr:from>
    <xdr:to>
      <xdr:col>13</xdr:col>
      <xdr:colOff>175260</xdr:colOff>
      <xdr:row>34</xdr:row>
      <xdr:rowOff>99060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5780731-1719-43FE-8A42-13EDD7DC9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175260</xdr:colOff>
      <xdr:row>21</xdr:row>
      <xdr:rowOff>45719</xdr:rowOff>
    </xdr:from>
    <xdr:to>
      <xdr:col>20</xdr:col>
      <xdr:colOff>330406</xdr:colOff>
      <xdr:row>33</xdr:row>
      <xdr:rowOff>126892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D9BDCE8-1268-41BD-9B30-F3539583A12A}"/>
            </a:ext>
          </a:extLst>
        </xdr:cNvPr>
        <xdr:cNvSpPr/>
      </xdr:nvSpPr>
      <xdr:spPr>
        <a:xfrm>
          <a:off x="8709660" y="3886199"/>
          <a:ext cx="3812746" cy="2275733"/>
        </a:xfrm>
        <a:prstGeom prst="roundRect">
          <a:avLst/>
        </a:prstGeom>
        <a:gradFill>
          <a:gsLst>
            <a:gs pos="39000">
              <a:schemeClr val="accent3">
                <a:lumMod val="60000"/>
                <a:lumOff val="40000"/>
              </a:schemeClr>
            </a:gs>
            <a:gs pos="74000">
              <a:schemeClr val="accent3">
                <a:lumMod val="75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14</xdr:col>
      <xdr:colOff>360999</xdr:colOff>
      <xdr:row>21</xdr:row>
      <xdr:rowOff>175260</xdr:rowOff>
    </xdr:from>
    <xdr:to>
      <xdr:col>20</xdr:col>
      <xdr:colOff>426720</xdr:colOff>
      <xdr:row>33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EA51888-E893-461A-9C07-F903BE8BB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403860</xdr:colOff>
      <xdr:row>6</xdr:row>
      <xdr:rowOff>53340</xdr:rowOff>
    </xdr:from>
    <xdr:to>
      <xdr:col>8</xdr:col>
      <xdr:colOff>160020</xdr:colOff>
      <xdr:row>19</xdr:row>
      <xdr:rowOff>7620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579D181A-A42B-847B-FE8C-B1FC26F2AFBB}"/>
            </a:ext>
          </a:extLst>
        </xdr:cNvPr>
        <xdr:cNvSpPr/>
      </xdr:nvSpPr>
      <xdr:spPr>
        <a:xfrm>
          <a:off x="403860" y="1150620"/>
          <a:ext cx="4632960" cy="2331720"/>
        </a:xfrm>
        <a:prstGeom prst="roundRect">
          <a:avLst/>
        </a:prstGeom>
        <a:gradFill flip="none" rotWithShape="1">
          <a:gsLst>
            <a:gs pos="0">
              <a:schemeClr val="accent3">
                <a:lumMod val="75000"/>
                <a:shade val="30000"/>
                <a:satMod val="115000"/>
              </a:schemeClr>
            </a:gs>
            <a:gs pos="50000">
              <a:schemeClr val="accent3">
                <a:lumMod val="75000"/>
                <a:shade val="67500"/>
                <a:satMod val="115000"/>
              </a:schemeClr>
            </a:gs>
            <a:gs pos="100000">
              <a:schemeClr val="accent3">
                <a:lumMod val="75000"/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AE" sz="2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Revenue</a:t>
          </a:r>
          <a:r>
            <a:rPr lang="en-AE" sz="2800">
              <a:solidFill>
                <a:schemeClr val="bg1"/>
              </a:solidFill>
              <a:effectLst/>
            </a:rPr>
            <a:t> = </a:t>
          </a:r>
          <a:r>
            <a:rPr lang="en-AE" sz="2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AED357,122</a:t>
          </a:r>
          <a:r>
            <a:rPr lang="en-AE" sz="2800">
              <a:solidFill>
                <a:schemeClr val="bg1"/>
              </a:solidFill>
              <a:effectLst/>
            </a:rPr>
            <a:t> </a:t>
          </a:r>
        </a:p>
        <a:p>
          <a:r>
            <a:rPr lang="en-AE" sz="2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Quantity Sold</a:t>
          </a:r>
          <a:r>
            <a:rPr lang="en-AE" sz="2800">
              <a:solidFill>
                <a:schemeClr val="bg1"/>
              </a:solidFill>
              <a:effectLst/>
            </a:rPr>
            <a:t> = </a:t>
          </a:r>
          <a:r>
            <a:rPr lang="en-AE" sz="2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28430</a:t>
          </a:r>
          <a:r>
            <a:rPr lang="en-AE" sz="2800">
              <a:solidFill>
                <a:schemeClr val="bg1"/>
              </a:solidFill>
              <a:effectLst/>
            </a:rPr>
            <a:t> </a:t>
          </a:r>
        </a:p>
        <a:p>
          <a:r>
            <a:rPr lang="en-AE" sz="2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Transactions</a:t>
          </a:r>
          <a:r>
            <a:rPr lang="en-AE" sz="2800">
              <a:solidFill>
                <a:schemeClr val="bg1"/>
              </a:solidFill>
              <a:effectLst/>
            </a:rPr>
            <a:t> = </a:t>
          </a:r>
          <a:r>
            <a:rPr lang="en-AE" sz="2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300</a:t>
          </a:r>
          <a:r>
            <a:rPr lang="en-AE" sz="2800">
              <a:solidFill>
                <a:schemeClr val="bg1"/>
              </a:solidFill>
              <a:effectLst/>
            </a:rPr>
            <a:t> </a:t>
          </a:r>
        </a:p>
        <a:p>
          <a:r>
            <a:rPr lang="en-AE" sz="2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Number of Medicines =</a:t>
          </a:r>
          <a:r>
            <a:rPr lang="en-AE" sz="2800">
              <a:solidFill>
                <a:schemeClr val="bg1"/>
              </a:solidFill>
              <a:effectLst/>
            </a:rPr>
            <a:t> </a:t>
          </a:r>
          <a:r>
            <a:rPr lang="en-AE" sz="2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AE" sz="2800">
              <a:solidFill>
                <a:schemeClr val="bg1"/>
              </a:solidFill>
              <a:effectLst/>
            </a:rPr>
            <a:t> </a:t>
          </a:r>
        </a:p>
        <a:p>
          <a:pPr algn="l"/>
          <a:endParaRPr lang="en-AE" sz="1100"/>
        </a:p>
      </xdr:txBody>
    </xdr:sp>
    <xdr:clientData/>
  </xdr:twoCellAnchor>
  <xdr:twoCellAnchor>
    <xdr:from>
      <xdr:col>9</xdr:col>
      <xdr:colOff>342900</xdr:colOff>
      <xdr:row>21</xdr:row>
      <xdr:rowOff>91440</xdr:rowOff>
    </xdr:from>
    <xdr:to>
      <xdr:col>13</xdr:col>
      <xdr:colOff>327660</xdr:colOff>
      <xdr:row>23</xdr:row>
      <xdr:rowOff>15240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0E44B04-AB31-0491-BBED-E3612725AFDA}"/>
            </a:ext>
          </a:extLst>
        </xdr:cNvPr>
        <xdr:cNvSpPr txBox="1"/>
      </xdr:nvSpPr>
      <xdr:spPr>
        <a:xfrm>
          <a:off x="5829300" y="3931920"/>
          <a:ext cx="24231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600"/>
            <a:t>Total Sales</a:t>
          </a:r>
          <a:r>
            <a:rPr lang="en-AE" sz="1600" baseline="0"/>
            <a:t> by Category</a:t>
          </a:r>
          <a:endParaRPr lang="en-AE" sz="1600"/>
        </a:p>
      </xdr:txBody>
    </xdr:sp>
    <xdr:clientData/>
  </xdr:twoCellAnchor>
  <xdr:twoCellAnchor>
    <xdr:from>
      <xdr:col>2</xdr:col>
      <xdr:colOff>68580</xdr:colOff>
      <xdr:row>21</xdr:row>
      <xdr:rowOff>137160</xdr:rowOff>
    </xdr:from>
    <xdr:to>
      <xdr:col>6</xdr:col>
      <xdr:colOff>160020</xdr:colOff>
      <xdr:row>23</xdr:row>
      <xdr:rowOff>60960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A0657A5-F81F-B55A-5B98-14B909E3C226}"/>
            </a:ext>
          </a:extLst>
        </xdr:cNvPr>
        <xdr:cNvSpPr txBox="1"/>
      </xdr:nvSpPr>
      <xdr:spPr>
        <a:xfrm>
          <a:off x="1287780" y="3977640"/>
          <a:ext cx="25298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400"/>
            <a:t>Total Quantity of Medicine</a:t>
          </a:r>
          <a:r>
            <a:rPr lang="en-AE" sz="1400" baseline="0"/>
            <a:t> Sold</a:t>
          </a:r>
          <a:endParaRPr lang="en-AE" sz="14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0.33989</cdr:x>
      <cdr:y>0.09135</cdr:y>
    </cdr:from>
    <cdr:to>
      <cdr:x>0.57981</cdr:x>
      <cdr:y>0.49733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EB43085-A025-A459-0219-F2717A1E2D9F}"/>
            </a:ext>
          </a:extLst>
        </cdr:cNvPr>
        <cdr:cNvSpPr txBox="1"/>
      </cdr:nvSpPr>
      <cdr:spPr>
        <a:xfrm xmlns:a="http://schemas.openxmlformats.org/drawingml/2006/main">
          <a:off x="1295400" y="2057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AE" sz="1100" kern="1200"/>
        </a:p>
      </cdr:txBody>
    </cdr:sp>
  </cdr:relSizeAnchor>
  <cdr:relSizeAnchor xmlns:cdr="http://schemas.openxmlformats.org/drawingml/2006/chartDrawing">
    <cdr:from>
      <cdr:x>0.37188</cdr:x>
      <cdr:y>0.02368</cdr:y>
    </cdr:from>
    <cdr:to>
      <cdr:x>0.88771</cdr:x>
      <cdr:y>0.12179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2B34FFC-E1BB-A9DE-5C49-3CE8DDA1F2D2}"/>
            </a:ext>
          </a:extLst>
        </cdr:cNvPr>
        <cdr:cNvSpPr txBox="1"/>
      </cdr:nvSpPr>
      <cdr:spPr>
        <a:xfrm xmlns:a="http://schemas.openxmlformats.org/drawingml/2006/main">
          <a:off x="1417320" y="53340"/>
          <a:ext cx="196596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AE" sz="1100" kern="1200"/>
        </a:p>
      </cdr:txBody>
    </cdr:sp>
  </cdr:relSizeAnchor>
  <cdr:relSizeAnchor xmlns:cdr="http://schemas.openxmlformats.org/drawingml/2006/chartDrawing">
    <cdr:from>
      <cdr:x>0.36388</cdr:x>
      <cdr:y>0.01692</cdr:y>
    </cdr:from>
    <cdr:to>
      <cdr:x>0.82973</cdr:x>
      <cdr:y>0.09135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278DD20-2545-1C92-F3E1-C8F6898CF6FC}"/>
            </a:ext>
          </a:extLst>
        </cdr:cNvPr>
        <cdr:cNvSpPr txBox="1"/>
      </cdr:nvSpPr>
      <cdr:spPr>
        <a:xfrm xmlns:a="http://schemas.openxmlformats.org/drawingml/2006/main">
          <a:off x="1386840" y="38100"/>
          <a:ext cx="1775460" cy="167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AE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0.31657</cdr:x>
      <cdr:y>0.05333</cdr:y>
    </cdr:from>
    <cdr:to>
      <cdr:x>0.90066</cdr:x>
      <cdr:y>0.15667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DA7E98-F8AD-855A-CCBC-E7F096732AF0}"/>
            </a:ext>
          </a:extLst>
        </cdr:cNvPr>
        <cdr:cNvSpPr txBox="1"/>
      </cdr:nvSpPr>
      <cdr:spPr>
        <a:xfrm xmlns:a="http://schemas.openxmlformats.org/drawingml/2006/main">
          <a:off x="1082041" y="121920"/>
          <a:ext cx="199644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AE" sz="1100" kern="1200"/>
        </a:p>
      </cdr:txBody>
    </cdr:sp>
  </cdr:relSizeAnchor>
  <cdr:relSizeAnchor xmlns:cdr="http://schemas.openxmlformats.org/drawingml/2006/chartDrawing">
    <cdr:from>
      <cdr:x>0.31211</cdr:x>
      <cdr:y>0</cdr:y>
    </cdr:from>
    <cdr:to>
      <cdr:x>0.79811</cdr:x>
      <cdr:y>0.18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C9CB61F-9132-B786-F222-F2B5D4D3EB91}"/>
            </a:ext>
          </a:extLst>
        </cdr:cNvPr>
        <cdr:cNvSpPr txBox="1"/>
      </cdr:nvSpPr>
      <cdr:spPr>
        <a:xfrm xmlns:a="http://schemas.openxmlformats.org/drawingml/2006/main">
          <a:off x="1066801" y="0"/>
          <a:ext cx="1661160" cy="411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AE" sz="1800" kern="1200"/>
            <a:t>Total Sales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0.32873</cdr:x>
      <cdr:y>0.01404</cdr:y>
    </cdr:from>
    <cdr:to>
      <cdr:x>0.83014</cdr:x>
      <cdr:y>0.16491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5FCC655-F4AF-1128-8CBD-B57D779B3D94}"/>
            </a:ext>
          </a:extLst>
        </cdr:cNvPr>
        <cdr:cNvSpPr txBox="1"/>
      </cdr:nvSpPr>
      <cdr:spPr>
        <a:xfrm xmlns:a="http://schemas.openxmlformats.org/drawingml/2006/main">
          <a:off x="1223961" y="30480"/>
          <a:ext cx="18669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E" sz="1600" kern="1200"/>
            <a:t>Monthly Sales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9.387165740744" createdVersion="8" refreshedVersion="8" minRefreshableVersion="3" recordCount="300" xr:uid="{5BD24C0A-F69D-411F-9814-32DE474265C6}">
  <cacheSource type="worksheet">
    <worksheetSource ref="A1:I301" sheet="Raw_Data"/>
  </cacheSource>
  <cacheFields count="11">
    <cacheField name="Sale_ID" numFmtId="0">
      <sharedItems/>
    </cacheField>
    <cacheField name="Date" numFmtId="164">
      <sharedItems containsSemiMixedTypes="0" containsNonDate="0" containsDate="1" containsString="0" minDate="2026-01-08T00:00:00" maxDate="2026-11-04T00:00:00" count="300"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</sharedItems>
      <fieldGroup par="10"/>
    </cacheField>
    <cacheField name="Field3" caption="Field3" numFmtId="164">
      <sharedItems/>
    </cacheField>
    <cacheField name="Medicine" numFmtId="0">
      <sharedItems count="20">
        <s v="Augmentin 625mg"/>
        <s v="Glucophage 500mg"/>
        <s v="Ventolin Inhaler"/>
        <s v="Paracetamol 500mg"/>
        <s v="Euthyrox 50mcg"/>
        <s v="Amlodipine 5mg"/>
        <s v="Azithromycin 500mg"/>
        <s v="Amoxicillin 500mg"/>
        <s v="Lipitor 20mg"/>
        <s v="Cetirizine 10mg"/>
        <s v="Ibuprofen 400mg"/>
        <s v="Metformin 500mg"/>
        <s v="Panadol Extra"/>
        <s v="Atorvastatin 20mg"/>
        <s v="Levothyroxine 50mcg"/>
        <s v="Zyrtec 10mg"/>
        <s v="Nexium 40mg"/>
        <s v="Salbutamol Inhaler"/>
        <s v="Norvasc 5mg"/>
        <s v="Omeprazole 20mg"/>
      </sharedItems>
    </cacheField>
    <cacheField name="Category" numFmtId="0">
      <sharedItems count="9">
        <s v="Antibiotic"/>
        <s v="Antidiabetic"/>
        <s v="Respiratory"/>
        <s v="Analgesic"/>
        <s v="Thyroid"/>
        <s v="Antihypertensive"/>
        <s v="Statin"/>
        <s v="Antihistamine"/>
        <s v="Gastrointestinal"/>
      </sharedItems>
    </cacheField>
    <cacheField name="Type" numFmtId="0">
      <sharedItems count="2">
        <s v="Branded"/>
        <s v="Generic"/>
      </sharedItems>
    </cacheField>
    <cacheField name="Quantity_Sold" numFmtId="0">
      <sharedItems containsSemiMixedTypes="0" containsString="0" containsNumber="1" containsInteger="1" minValue="31" maxValue="170" count="118">
        <n v="37"/>
        <n v="54"/>
        <n v="47"/>
        <n v="95"/>
        <n v="152"/>
        <n v="136"/>
        <n v="65"/>
        <n v="123"/>
        <n v="112"/>
        <n v="114"/>
        <n v="164"/>
        <n v="138"/>
        <n v="147"/>
        <n v="161"/>
        <n v="127"/>
        <n v="86"/>
        <n v="57"/>
        <n v="66"/>
        <n v="67"/>
        <n v="93"/>
        <n v="163"/>
        <n v="92"/>
        <n v="55"/>
        <n v="165"/>
        <n v="150"/>
        <n v="90"/>
        <n v="71"/>
        <n v="134"/>
        <n v="144"/>
        <n v="50"/>
        <n v="34"/>
        <n v="108"/>
        <n v="162"/>
        <n v="113"/>
        <n v="121"/>
        <n v="170"/>
        <n v="69"/>
        <n v="46"/>
        <n v="146"/>
        <n v="131"/>
        <n v="72"/>
        <n v="139"/>
        <n v="98"/>
        <n v="70"/>
        <n v="120"/>
        <n v="44"/>
        <n v="118"/>
        <n v="102"/>
        <n v="42"/>
        <n v="41"/>
        <n v="58"/>
        <n v="89"/>
        <n v="96"/>
        <n v="124"/>
        <n v="106"/>
        <n v="81"/>
        <n v="104"/>
        <n v="83"/>
        <n v="60"/>
        <n v="88"/>
        <n v="31"/>
        <n v="39"/>
        <n v="77"/>
        <n v="149"/>
        <n v="49"/>
        <n v="94"/>
        <n v="35"/>
        <n v="111"/>
        <n v="100"/>
        <n v="99"/>
        <n v="145"/>
        <n v="115"/>
        <n v="143"/>
        <n v="148"/>
        <n v="132"/>
        <n v="52"/>
        <n v="64"/>
        <n v="78"/>
        <n v="74"/>
        <n v="43"/>
        <n v="85"/>
        <n v="79"/>
        <n v="38"/>
        <n v="119"/>
        <n v="126"/>
        <n v="110"/>
        <n v="117"/>
        <n v="125"/>
        <n v="91"/>
        <n v="133"/>
        <n v="158"/>
        <n v="141"/>
        <n v="97"/>
        <n v="137"/>
        <n v="140"/>
        <n v="129"/>
        <n v="107"/>
        <n v="51"/>
        <n v="62"/>
        <n v="56"/>
        <n v="130"/>
        <n v="151"/>
        <n v="33"/>
        <n v="73"/>
        <n v="101"/>
        <n v="87"/>
        <n v="122"/>
        <n v="36"/>
        <n v="40"/>
        <n v="84"/>
        <n v="45"/>
        <n v="105"/>
        <n v="103"/>
        <n v="53"/>
        <n v="76"/>
        <n v="135"/>
        <n v="109"/>
        <n v="75"/>
      </sharedItems>
    </cacheField>
    <cacheField name="Unit_Price" numFmtId="2">
      <sharedItems containsSemiMixedTypes="0" containsString="0" containsNumber="1" minValue="4.8" maxValue="26.67"/>
    </cacheField>
    <cacheField name="Total_Sales" numFmtId="2">
      <sharedItems containsSemiMixedTypes="0" containsString="0" containsNumber="1" minValue="173.6" maxValue="3724.05" count="300">
        <n v="697.08"/>
        <n v="847.26"/>
        <n v="1158.08"/>
        <n v="229.83"/>
        <n v="643.42999999999995"/>
        <n v="2231.5500000000002"/>
        <n v="969.76"/>
        <n v="1502.8"/>
        <n v="628.54999999999995"/>
        <n v="845.53"/>
        <n v="3027.03"/>
        <n v="649.6"/>
        <n v="788.88"/>
        <n v="2960.2"/>
        <n v="1058.46"/>
        <n v="2177.0700000000002"/>
        <n v="2326.4499999999998"/>
        <n v="806.45"/>
        <n v="2100.98"/>
        <n v="889.29"/>
        <n v="863.55"/>
        <n v="1646.04"/>
        <n v="849.56"/>
        <n v="916.05"/>
        <n v="1530.57"/>
        <n v="1274.2"/>
        <n v="325.05"/>
        <n v="2645.44"/>
        <n v="3724.05"/>
        <n v="822.96"/>
        <n v="1862.77"/>
        <n v="1713"/>
        <n v="630"/>
        <n v="1222.6199999999999"/>
        <n v="699.48"/>
        <n v="3402.72"/>
        <n v="494"/>
        <n v="218.96"/>
        <n v="679.32"/>
        <n v="3006.72"/>
        <n v="1920.03"/>
        <n v="1334.53"/>
        <n v="600.16"/>
        <n v="3051.5"/>
        <n v="925.29"/>
        <n v="336.72"/>
        <n v="1040.98"/>
        <n v="1193.4100000000001"/>
        <n v="806.4"/>
        <n v="1531.4"/>
        <n v="1100.8800000000001"/>
        <n v="2613.66"/>
        <n v="1234.0999999999999"/>
        <n v="613.20000000000005"/>
        <n v="489.26"/>
        <n v="771.17"/>
        <n v="447.48"/>
        <n v="861.9"/>
        <n v="1073.8"/>
        <n v="1982.08"/>
        <n v="2372.41"/>
        <n v="2383.7399999999998"/>
        <n v="757.68"/>
        <n v="1228.5"/>
        <n v="325.62"/>
        <n v="446.6"/>
        <n v="968.24"/>
        <n v="763.83"/>
        <n v="251.45"/>
        <n v="872.32"/>
        <n v="1291.22"/>
        <n v="930.05"/>
        <n v="1072.7"/>
        <n v="1398.72"/>
        <n v="3280.24"/>
        <n v="524.61"/>
        <n v="1138.32"/>
        <n v="354.09"/>
        <n v="2494.59"/>
        <n v="1094.4000000000001"/>
        <n v="711.26"/>
        <n v="1172.8800000000001"/>
        <n v="1602.64"/>
        <n v="601.75"/>
        <n v="1199.8"/>
        <n v="591"/>
        <n v="1221.44"/>
        <n v="219.17"/>
        <n v="716.04"/>
        <n v="295.77999999999997"/>
        <n v="1140.3699999999999"/>
        <n v="2848.8"/>
        <n v="514.29"/>
        <n v="2161.9899999999998"/>
        <n v="281.16000000000003"/>
        <n v="1158.8499999999999"/>
        <n v="963.16"/>
        <n v="571.52"/>
        <n v="507.99"/>
        <n v="199.5"/>
        <n v="1076.7"/>
        <n v="625"/>
        <n v="211.2"/>
        <n v="850.41"/>
        <n v="872"/>
        <n v="825.93"/>
        <n v="1734.2"/>
        <n v="1661.75"/>
        <n v="3650.79"/>
        <n v="1426.72"/>
        <n v="1532.52"/>
        <n v="271.95999999999998"/>
        <n v="3012.24"/>
        <n v="931.84"/>
        <n v="1492.92"/>
        <n v="736.02"/>
        <n v="1822.98"/>
        <n v="829.4"/>
        <n v="496.8"/>
        <n v="458.8"/>
        <n v="1852.56"/>
        <n v="319.8"/>
        <n v="530.19000000000005"/>
        <n v="874.65"/>
        <n v="1516.8"/>
        <n v="237.5"/>
        <n v="2734.56"/>
        <n v="668.15"/>
        <n v="1179.29"/>
        <n v="2574.14"/>
        <n v="1769.04"/>
        <n v="1488.3"/>
        <n v="930.91"/>
        <n v="1883.84"/>
        <n v="365.56"/>
        <n v="1090.44"/>
        <n v="585.62"/>
        <n v="1997.28"/>
        <n v="1321.25"/>
        <n v="1292.44"/>
        <n v="1887.22"/>
        <n v="396.76"/>
        <n v="1627.22"/>
        <n v="581.49"/>
        <n v="1106.56"/>
        <n v="454.26"/>
        <n v="827.92"/>
        <n v="2550.69"/>
        <n v="1484.1"/>
        <n v="1671.36"/>
        <n v="1824.84"/>
        <n v="748.12"/>
        <n v="3500.01"/>
        <n v="1600.16"/>
        <n v="812.82"/>
        <n v="883.4"/>
        <n v="1072.81"/>
        <n v="910.14"/>
        <n v="1022.12"/>
        <n v="875.91"/>
        <n v="638.82000000000005"/>
        <n v="523.25"/>
        <n v="2020.14"/>
        <n v="808.64"/>
        <n v="666"/>
        <n v="1933.38"/>
        <n v="2465.2800000000002"/>
        <n v="2629.12"/>
        <n v="565.44000000000005"/>
        <n v="1307.8800000000001"/>
        <n v="1668"/>
        <n v="1734.47"/>
        <n v="1044.96"/>
        <n v="1192.3800000000001"/>
        <n v="827.31"/>
        <n v="464.88"/>
        <n v="888.72"/>
        <n v="858.24"/>
        <n v="1010.88"/>
        <n v="1783.12"/>
        <n v="1580.1"/>
        <n v="1143"/>
        <n v="758.5"/>
        <n v="563.58000000000004"/>
        <n v="1440.32"/>
        <n v="2681.82"/>
        <n v="1956.24"/>
        <n v="1220.47"/>
        <n v="1204.5"/>
        <n v="1228.08"/>
        <n v="2458.3000000000002"/>
        <n v="2397.3200000000002"/>
        <n v="990.63"/>
        <n v="1040.99"/>
        <n v="758.02"/>
        <n v="1799.55"/>
        <n v="768.24"/>
        <n v="1954.24"/>
        <n v="3427.71"/>
        <n v="625.1"/>
        <n v="484.25"/>
        <n v="630.36"/>
        <n v="334.62"/>
        <n v="989"/>
        <n v="432.16"/>
        <n v="576.71"/>
        <n v="438.6"/>
        <n v="2990.85"/>
        <n v="1191.03"/>
        <n v="814.32"/>
        <n v="1637.04"/>
        <n v="2315.39"/>
        <n v="1720.8"/>
        <n v="407.1"/>
        <n v="540.4"/>
        <n v="581.04"/>
        <n v="751.52"/>
        <n v="1673.74"/>
        <n v="525.28"/>
        <n v="452.29"/>
        <n v="226.1"/>
        <n v="1787.38"/>
        <n v="594.26"/>
        <n v="1275.3"/>
        <n v="389.16"/>
        <n v="604.55999999999995"/>
        <n v="519.87"/>
        <n v="569.87"/>
        <n v="604.4"/>
        <n v="3060.7"/>
        <n v="1035.8800000000001"/>
        <n v="883.3"/>
        <n v="748.44"/>
        <n v="1393.2"/>
        <n v="860.2"/>
        <n v="343.5"/>
        <n v="332.5"/>
        <n v="1511.1"/>
        <n v="1657.2"/>
        <n v="243.36"/>
        <n v="1081.8599999999999"/>
        <n v="988.24"/>
        <n v="1293.56"/>
        <n v="251.6"/>
        <n v="2246.25"/>
        <n v="273.14999999999998"/>
        <n v="1035"/>
        <n v="1074.1400000000001"/>
        <n v="2705.68"/>
        <n v="200.9"/>
        <n v="1014.3"/>
        <n v="590.19000000000005"/>
        <n v="1007.1"/>
        <n v="343.44"/>
        <n v="538.74"/>
        <n v="736.27"/>
        <n v="794.88"/>
        <n v="1712.28"/>
        <n v="823.48"/>
        <n v="411.09"/>
        <n v="996.8"/>
        <n v="2144.0100000000002"/>
        <n v="1254"/>
        <n v="728.98"/>
        <n v="1181.74"/>
        <n v="558"/>
        <n v="2201.7600000000002"/>
        <n v="1332"/>
        <n v="437.9"/>
        <n v="279.45"/>
        <n v="2020.44"/>
        <n v="527.04999999999995"/>
        <n v="1348.16"/>
        <n v="1208.3399999999999"/>
        <n v="1208.2"/>
        <n v="1720.61"/>
        <n v="769.5"/>
        <n v="1968.69"/>
        <n v="1764"/>
        <n v="955.34"/>
        <n v="1889.16"/>
        <n v="934.15"/>
        <n v="2190.64"/>
        <n v="1263.75"/>
        <n v="596.45000000000005"/>
        <n v="900.24"/>
        <n v="1668.45"/>
        <n v="256.62"/>
        <n v="590.48"/>
        <n v="354.9"/>
        <n v="1133.5999999999999"/>
        <n v="966.05"/>
        <n v="2010.84"/>
        <n v="1869.66"/>
        <n v="433.2"/>
        <n v="1803.75"/>
        <n v="1504.14"/>
        <n v="173.6"/>
        <n v="1048.5"/>
        <n v="1459.85"/>
      </sharedItems>
    </cacheField>
    <cacheField name="Days (Date)" numFmtId="0" databaseField="0">
      <fieldGroup base="1">
        <rangePr groupBy="days" startDate="2026-01-08T00:00:00" endDate="2026-11-04T00:00:00"/>
        <groupItems count="368">
          <s v="&lt;08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/11/2026"/>
        </groupItems>
      </fieldGroup>
    </cacheField>
    <cacheField name="Months (Date)" numFmtId="0" databaseField="0">
      <fieldGroup base="1">
        <rangePr groupBy="months" startDate="2026-01-08T00:00:00" endDate="2026-11-04T00:00:00"/>
        <groupItems count="14">
          <s v="&lt;08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0001"/>
    <x v="0"/>
    <s v="Jan"/>
    <x v="0"/>
    <x v="0"/>
    <x v="0"/>
    <x v="0"/>
    <n v="18.84"/>
    <x v="0"/>
  </r>
  <r>
    <s v="S0002"/>
    <x v="1"/>
    <s v="Jan"/>
    <x v="1"/>
    <x v="1"/>
    <x v="0"/>
    <x v="1"/>
    <n v="15.69"/>
    <x v="1"/>
  </r>
  <r>
    <s v="S0003"/>
    <x v="2"/>
    <s v="Jan"/>
    <x v="2"/>
    <x v="2"/>
    <x v="0"/>
    <x v="2"/>
    <n v="24.64"/>
    <x v="2"/>
  </r>
  <r>
    <s v="S0004"/>
    <x v="3"/>
    <s v="Jan"/>
    <x v="3"/>
    <x v="3"/>
    <x v="1"/>
    <x v="2"/>
    <n v="4.8899999999999997"/>
    <x v="3"/>
  </r>
  <r>
    <s v="S0005"/>
    <x v="4"/>
    <s v="Jan"/>
    <x v="4"/>
    <x v="4"/>
    <x v="0"/>
    <x v="0"/>
    <n v="17.39"/>
    <x v="4"/>
  </r>
  <r>
    <s v="S0006"/>
    <x v="5"/>
    <s v="Jan"/>
    <x v="2"/>
    <x v="2"/>
    <x v="0"/>
    <x v="3"/>
    <n v="23.49"/>
    <x v="5"/>
  </r>
  <r>
    <s v="S0007"/>
    <x v="6"/>
    <s v="Jan"/>
    <x v="5"/>
    <x v="5"/>
    <x v="1"/>
    <x v="4"/>
    <n v="6.38"/>
    <x v="6"/>
  </r>
  <r>
    <s v="S0008"/>
    <x v="7"/>
    <s v="Jan"/>
    <x v="6"/>
    <x v="0"/>
    <x v="1"/>
    <x v="5"/>
    <n v="11.05"/>
    <x v="7"/>
  </r>
  <r>
    <s v="S0009"/>
    <x v="8"/>
    <s v="Jan"/>
    <x v="7"/>
    <x v="0"/>
    <x v="1"/>
    <x v="6"/>
    <n v="9.67"/>
    <x v="8"/>
  </r>
  <r>
    <s v="S0010"/>
    <x v="9"/>
    <s v="Jan"/>
    <x v="0"/>
    <x v="0"/>
    <x v="0"/>
    <x v="2"/>
    <n v="17.989999999999998"/>
    <x v="9"/>
  </r>
  <r>
    <s v="S0011"/>
    <x v="10"/>
    <s v="Jan"/>
    <x v="8"/>
    <x v="6"/>
    <x v="0"/>
    <x v="7"/>
    <n v="24.61"/>
    <x v="10"/>
  </r>
  <r>
    <s v="S0012"/>
    <x v="11"/>
    <s v="Jan"/>
    <x v="9"/>
    <x v="7"/>
    <x v="1"/>
    <x v="8"/>
    <n v="5.8"/>
    <x v="11"/>
  </r>
  <r>
    <s v="S0013"/>
    <x v="12"/>
    <s v="Jan"/>
    <x v="10"/>
    <x v="3"/>
    <x v="1"/>
    <x v="9"/>
    <n v="6.92"/>
    <x v="12"/>
  </r>
  <r>
    <s v="S0014"/>
    <x v="13"/>
    <s v="Jan"/>
    <x v="4"/>
    <x v="4"/>
    <x v="0"/>
    <x v="10"/>
    <n v="18.05"/>
    <x v="13"/>
  </r>
  <r>
    <s v="S0015"/>
    <x v="14"/>
    <s v="Jan"/>
    <x v="11"/>
    <x v="1"/>
    <x v="1"/>
    <x v="11"/>
    <n v="7.67"/>
    <x v="14"/>
  </r>
  <r>
    <s v="S0016"/>
    <x v="15"/>
    <s v="Jan"/>
    <x v="1"/>
    <x v="1"/>
    <x v="0"/>
    <x v="12"/>
    <n v="14.81"/>
    <x v="15"/>
  </r>
  <r>
    <s v="S0017"/>
    <x v="16"/>
    <s v="Jan"/>
    <x v="1"/>
    <x v="1"/>
    <x v="0"/>
    <x v="13"/>
    <n v="14.45"/>
    <x v="16"/>
  </r>
  <r>
    <s v="S0018"/>
    <x v="17"/>
    <s v="Jan"/>
    <x v="9"/>
    <x v="7"/>
    <x v="1"/>
    <x v="14"/>
    <n v="6.35"/>
    <x v="17"/>
  </r>
  <r>
    <s v="S0019"/>
    <x v="18"/>
    <s v="Jan"/>
    <x v="8"/>
    <x v="6"/>
    <x v="0"/>
    <x v="15"/>
    <n v="24.43"/>
    <x v="18"/>
  </r>
  <r>
    <s v="S0020"/>
    <x v="19"/>
    <s v="Jan"/>
    <x v="10"/>
    <x v="3"/>
    <x v="1"/>
    <x v="7"/>
    <n v="7.23"/>
    <x v="19"/>
  </r>
  <r>
    <s v="S0021"/>
    <x v="20"/>
    <s v="Jan"/>
    <x v="1"/>
    <x v="1"/>
    <x v="0"/>
    <x v="16"/>
    <n v="15.15"/>
    <x v="20"/>
  </r>
  <r>
    <s v="S0022"/>
    <x v="21"/>
    <s v="Jan"/>
    <x v="2"/>
    <x v="2"/>
    <x v="0"/>
    <x v="17"/>
    <n v="24.94"/>
    <x v="21"/>
  </r>
  <r>
    <s v="S0023"/>
    <x v="22"/>
    <s v="Jan"/>
    <x v="12"/>
    <x v="3"/>
    <x v="0"/>
    <x v="18"/>
    <n v="12.68"/>
    <x v="22"/>
  </r>
  <r>
    <s v="S0024"/>
    <x v="23"/>
    <s v="Jan"/>
    <x v="13"/>
    <x v="6"/>
    <x v="1"/>
    <x v="19"/>
    <n v="9.85"/>
    <x v="23"/>
  </r>
  <r>
    <s v="S0025"/>
    <x v="24"/>
    <s v="Feb"/>
    <x v="14"/>
    <x v="4"/>
    <x v="1"/>
    <x v="20"/>
    <n v="9.39"/>
    <x v="24"/>
  </r>
  <r>
    <s v="S0026"/>
    <x v="25"/>
    <s v="Feb"/>
    <x v="15"/>
    <x v="7"/>
    <x v="0"/>
    <x v="21"/>
    <n v="13.85"/>
    <x v="25"/>
  </r>
  <r>
    <s v="S0027"/>
    <x v="26"/>
    <s v="Feb"/>
    <x v="9"/>
    <x v="7"/>
    <x v="1"/>
    <x v="22"/>
    <n v="5.91"/>
    <x v="26"/>
  </r>
  <r>
    <s v="S0028"/>
    <x v="27"/>
    <s v="Feb"/>
    <x v="2"/>
    <x v="2"/>
    <x v="0"/>
    <x v="8"/>
    <n v="23.62"/>
    <x v="27"/>
  </r>
  <r>
    <s v="S0029"/>
    <x v="28"/>
    <s v="Feb"/>
    <x v="16"/>
    <x v="8"/>
    <x v="0"/>
    <x v="23"/>
    <n v="22.57"/>
    <x v="28"/>
  </r>
  <r>
    <s v="S0030"/>
    <x v="29"/>
    <s v="Feb"/>
    <x v="1"/>
    <x v="1"/>
    <x v="0"/>
    <x v="1"/>
    <n v="15.24"/>
    <x v="29"/>
  </r>
  <r>
    <s v="S0031"/>
    <x v="30"/>
    <s v="Feb"/>
    <x v="12"/>
    <x v="3"/>
    <x v="0"/>
    <x v="13"/>
    <n v="11.57"/>
    <x v="30"/>
  </r>
  <r>
    <s v="S0032"/>
    <x v="31"/>
    <s v="Feb"/>
    <x v="6"/>
    <x v="0"/>
    <x v="1"/>
    <x v="24"/>
    <n v="11.42"/>
    <x v="31"/>
  </r>
  <r>
    <s v="S0033"/>
    <x v="32"/>
    <s v="Feb"/>
    <x v="10"/>
    <x v="3"/>
    <x v="1"/>
    <x v="25"/>
    <n v="7"/>
    <x v="32"/>
  </r>
  <r>
    <s v="S0034"/>
    <x v="33"/>
    <s v="Feb"/>
    <x v="17"/>
    <x v="2"/>
    <x v="1"/>
    <x v="26"/>
    <n v="17.22"/>
    <x v="33"/>
  </r>
  <r>
    <s v="S0035"/>
    <x v="34"/>
    <s v="Feb"/>
    <x v="3"/>
    <x v="3"/>
    <x v="1"/>
    <x v="27"/>
    <n v="5.22"/>
    <x v="34"/>
  </r>
  <r>
    <s v="S0036"/>
    <x v="35"/>
    <s v="Feb"/>
    <x v="2"/>
    <x v="2"/>
    <x v="0"/>
    <x v="28"/>
    <n v="23.63"/>
    <x v="35"/>
  </r>
  <r>
    <s v="S0037"/>
    <x v="36"/>
    <s v="Feb"/>
    <x v="13"/>
    <x v="6"/>
    <x v="1"/>
    <x v="29"/>
    <n v="9.8800000000000008"/>
    <x v="36"/>
  </r>
  <r>
    <s v="S0038"/>
    <x v="37"/>
    <s v="Feb"/>
    <x v="9"/>
    <x v="7"/>
    <x v="1"/>
    <x v="30"/>
    <n v="6.44"/>
    <x v="37"/>
  </r>
  <r>
    <s v="S0039"/>
    <x v="38"/>
    <s v="Feb"/>
    <x v="5"/>
    <x v="5"/>
    <x v="1"/>
    <x v="31"/>
    <n v="6.29"/>
    <x v="38"/>
  </r>
  <r>
    <s v="S0040"/>
    <x v="39"/>
    <s v="Feb"/>
    <x v="0"/>
    <x v="0"/>
    <x v="0"/>
    <x v="32"/>
    <n v="18.559999999999999"/>
    <x v="39"/>
  </r>
  <r>
    <s v="S0041"/>
    <x v="40"/>
    <s v="Feb"/>
    <x v="17"/>
    <x v="2"/>
    <x v="1"/>
    <x v="7"/>
    <n v="15.61"/>
    <x v="40"/>
  </r>
  <r>
    <s v="S0042"/>
    <x v="41"/>
    <s v="Feb"/>
    <x v="6"/>
    <x v="0"/>
    <x v="1"/>
    <x v="33"/>
    <n v="11.81"/>
    <x v="41"/>
  </r>
  <r>
    <s v="S0043"/>
    <x v="42"/>
    <s v="Feb"/>
    <x v="3"/>
    <x v="3"/>
    <x v="1"/>
    <x v="34"/>
    <n v="4.96"/>
    <x v="42"/>
  </r>
  <r>
    <s v="S0044"/>
    <x v="43"/>
    <s v="Feb"/>
    <x v="0"/>
    <x v="0"/>
    <x v="0"/>
    <x v="35"/>
    <n v="17.95"/>
    <x v="43"/>
  </r>
  <r>
    <s v="S0045"/>
    <x v="44"/>
    <s v="Feb"/>
    <x v="18"/>
    <x v="5"/>
    <x v="0"/>
    <x v="36"/>
    <n v="13.41"/>
    <x v="44"/>
  </r>
  <r>
    <s v="S0046"/>
    <x v="45"/>
    <s v="Feb"/>
    <x v="10"/>
    <x v="3"/>
    <x v="1"/>
    <x v="37"/>
    <n v="7.32"/>
    <x v="45"/>
  </r>
  <r>
    <s v="S0047"/>
    <x v="46"/>
    <s v="Feb"/>
    <x v="10"/>
    <x v="3"/>
    <x v="1"/>
    <x v="38"/>
    <n v="7.13"/>
    <x v="46"/>
  </r>
  <r>
    <s v="S0048"/>
    <x v="47"/>
    <s v="Feb"/>
    <x v="7"/>
    <x v="0"/>
    <x v="1"/>
    <x v="39"/>
    <n v="9.11"/>
    <x v="47"/>
  </r>
  <r>
    <s v="S0049"/>
    <x v="48"/>
    <s v="Feb"/>
    <x v="6"/>
    <x v="0"/>
    <x v="1"/>
    <x v="40"/>
    <n v="11.2"/>
    <x v="48"/>
  </r>
  <r>
    <s v="S0050"/>
    <x v="49"/>
    <s v="Feb"/>
    <x v="16"/>
    <x v="8"/>
    <x v="0"/>
    <x v="6"/>
    <n v="23.56"/>
    <x v="49"/>
  </r>
  <r>
    <s v="S0051"/>
    <x v="50"/>
    <s v="Feb"/>
    <x v="11"/>
    <x v="1"/>
    <x v="1"/>
    <x v="41"/>
    <n v="7.92"/>
    <x v="50"/>
  </r>
  <r>
    <s v="S0052"/>
    <x v="51"/>
    <s v="Feb"/>
    <x v="8"/>
    <x v="6"/>
    <x v="0"/>
    <x v="42"/>
    <n v="26.67"/>
    <x v="51"/>
  </r>
  <r>
    <s v="S0053"/>
    <x v="52"/>
    <s v="Mar"/>
    <x v="0"/>
    <x v="0"/>
    <x v="0"/>
    <x v="43"/>
    <n v="17.63"/>
    <x v="52"/>
  </r>
  <r>
    <s v="S0054"/>
    <x v="53"/>
    <s v="Mar"/>
    <x v="3"/>
    <x v="3"/>
    <x v="1"/>
    <x v="44"/>
    <n v="5.1100000000000003"/>
    <x v="53"/>
  </r>
  <r>
    <s v="S0055"/>
    <x v="54"/>
    <s v="Mar"/>
    <x v="1"/>
    <x v="1"/>
    <x v="0"/>
    <x v="30"/>
    <n v="14.39"/>
    <x v="54"/>
  </r>
  <r>
    <s v="S0056"/>
    <x v="55"/>
    <s v="Mar"/>
    <x v="12"/>
    <x v="3"/>
    <x v="0"/>
    <x v="18"/>
    <n v="11.51"/>
    <x v="55"/>
  </r>
  <r>
    <s v="S0057"/>
    <x v="56"/>
    <s v="Mar"/>
    <x v="13"/>
    <x v="6"/>
    <x v="1"/>
    <x v="45"/>
    <n v="10.17"/>
    <x v="56"/>
  </r>
  <r>
    <s v="S0058"/>
    <x v="57"/>
    <s v="Mar"/>
    <x v="15"/>
    <x v="7"/>
    <x v="0"/>
    <x v="6"/>
    <n v="13.26"/>
    <x v="57"/>
  </r>
  <r>
    <s v="S0059"/>
    <x v="58"/>
    <s v="Mar"/>
    <x v="14"/>
    <x v="4"/>
    <x v="1"/>
    <x v="46"/>
    <n v="9.1"/>
    <x v="58"/>
  </r>
  <r>
    <s v="S0060"/>
    <x v="59"/>
    <s v="Mar"/>
    <x v="15"/>
    <x v="7"/>
    <x v="0"/>
    <x v="4"/>
    <n v="13.04"/>
    <x v="59"/>
  </r>
  <r>
    <s v="S0061"/>
    <x v="60"/>
    <s v="Mar"/>
    <x v="0"/>
    <x v="0"/>
    <x v="0"/>
    <x v="39"/>
    <n v="18.11"/>
    <x v="60"/>
  </r>
  <r>
    <s v="S0062"/>
    <x v="61"/>
    <s v="Mar"/>
    <x v="16"/>
    <x v="8"/>
    <x v="0"/>
    <x v="47"/>
    <n v="23.37"/>
    <x v="61"/>
  </r>
  <r>
    <s v="S0063"/>
    <x v="62"/>
    <s v="Mar"/>
    <x v="0"/>
    <x v="0"/>
    <x v="0"/>
    <x v="48"/>
    <n v="18.04"/>
    <x v="62"/>
  </r>
  <r>
    <s v="S0064"/>
    <x v="63"/>
    <s v="Mar"/>
    <x v="0"/>
    <x v="0"/>
    <x v="0"/>
    <x v="43"/>
    <n v="17.55"/>
    <x v="63"/>
  </r>
  <r>
    <s v="S0065"/>
    <x v="64"/>
    <s v="Mar"/>
    <x v="9"/>
    <x v="7"/>
    <x v="1"/>
    <x v="1"/>
    <n v="6.03"/>
    <x v="64"/>
  </r>
  <r>
    <s v="S0066"/>
    <x v="65"/>
    <s v="Mar"/>
    <x v="9"/>
    <x v="7"/>
    <x v="1"/>
    <x v="43"/>
    <n v="6.38"/>
    <x v="65"/>
  </r>
  <r>
    <s v="S0067"/>
    <x v="66"/>
    <s v="Mar"/>
    <x v="9"/>
    <x v="7"/>
    <x v="1"/>
    <x v="4"/>
    <n v="6.37"/>
    <x v="66"/>
  </r>
  <r>
    <s v="S0068"/>
    <x v="67"/>
    <s v="Mar"/>
    <x v="0"/>
    <x v="0"/>
    <x v="0"/>
    <x v="49"/>
    <n v="18.63"/>
    <x v="67"/>
  </r>
  <r>
    <s v="S0069"/>
    <x v="68"/>
    <s v="Mar"/>
    <x v="3"/>
    <x v="3"/>
    <x v="1"/>
    <x v="2"/>
    <n v="5.35"/>
    <x v="68"/>
  </r>
  <r>
    <s v="S0070"/>
    <x v="69"/>
    <s v="Mar"/>
    <x v="1"/>
    <x v="1"/>
    <x v="0"/>
    <x v="50"/>
    <n v="15.04"/>
    <x v="69"/>
  </r>
  <r>
    <s v="S0071"/>
    <x v="70"/>
    <s v="Mar"/>
    <x v="11"/>
    <x v="1"/>
    <x v="1"/>
    <x v="13"/>
    <n v="8.02"/>
    <x v="70"/>
  </r>
  <r>
    <s v="S0072"/>
    <x v="71"/>
    <s v="Mar"/>
    <x v="6"/>
    <x v="0"/>
    <x v="1"/>
    <x v="51"/>
    <n v="10.45"/>
    <x v="71"/>
  </r>
  <r>
    <s v="S0073"/>
    <x v="72"/>
    <s v="Mar"/>
    <x v="5"/>
    <x v="5"/>
    <x v="1"/>
    <x v="35"/>
    <n v="6.31"/>
    <x v="72"/>
  </r>
  <r>
    <s v="S0074"/>
    <x v="73"/>
    <s v="Mar"/>
    <x v="18"/>
    <x v="5"/>
    <x v="0"/>
    <x v="52"/>
    <n v="14.57"/>
    <x v="73"/>
  </r>
  <r>
    <s v="S0075"/>
    <x v="74"/>
    <s v="Mar"/>
    <x v="2"/>
    <x v="2"/>
    <x v="0"/>
    <x v="39"/>
    <n v="25.04"/>
    <x v="74"/>
  </r>
  <r>
    <s v="S0076"/>
    <x v="75"/>
    <s v="Mar"/>
    <x v="11"/>
    <x v="1"/>
    <x v="1"/>
    <x v="18"/>
    <n v="7.83"/>
    <x v="75"/>
  </r>
  <r>
    <s v="S0077"/>
    <x v="76"/>
    <s v="Mar"/>
    <x v="14"/>
    <x v="4"/>
    <x v="1"/>
    <x v="53"/>
    <n v="9.18"/>
    <x v="76"/>
  </r>
  <r>
    <s v="S0078"/>
    <x v="77"/>
    <s v="Mar"/>
    <x v="13"/>
    <x v="6"/>
    <x v="1"/>
    <x v="0"/>
    <n v="9.57"/>
    <x v="77"/>
  </r>
  <r>
    <s v="S0079"/>
    <x v="78"/>
    <s v="Mar"/>
    <x v="17"/>
    <x v="2"/>
    <x v="1"/>
    <x v="12"/>
    <n v="16.97"/>
    <x v="78"/>
  </r>
  <r>
    <s v="S0080"/>
    <x v="79"/>
    <s v="Mar"/>
    <x v="12"/>
    <x v="3"/>
    <x v="0"/>
    <x v="3"/>
    <n v="11.52"/>
    <x v="79"/>
  </r>
  <r>
    <s v="S0081"/>
    <x v="80"/>
    <s v="Mar"/>
    <x v="10"/>
    <x v="3"/>
    <x v="1"/>
    <x v="54"/>
    <n v="6.71"/>
    <x v="80"/>
  </r>
  <r>
    <s v="S0082"/>
    <x v="81"/>
    <s v="Mar"/>
    <x v="1"/>
    <x v="1"/>
    <x v="0"/>
    <x v="55"/>
    <n v="14.48"/>
    <x v="81"/>
  </r>
  <r>
    <s v="S0083"/>
    <x v="82"/>
    <s v="Mar"/>
    <x v="1"/>
    <x v="1"/>
    <x v="0"/>
    <x v="56"/>
    <n v="15.41"/>
    <x v="82"/>
  </r>
  <r>
    <s v="S0084"/>
    <x v="83"/>
    <s v="Apr"/>
    <x v="10"/>
    <x v="3"/>
    <x v="1"/>
    <x v="57"/>
    <n v="7.25"/>
    <x v="83"/>
  </r>
  <r>
    <s v="S0085"/>
    <x v="84"/>
    <s v="Apr"/>
    <x v="17"/>
    <x v="2"/>
    <x v="1"/>
    <x v="43"/>
    <n v="17.14"/>
    <x v="84"/>
  </r>
  <r>
    <s v="S0086"/>
    <x v="85"/>
    <s v="Apr"/>
    <x v="13"/>
    <x v="6"/>
    <x v="1"/>
    <x v="58"/>
    <n v="9.85"/>
    <x v="85"/>
  </r>
  <r>
    <s v="S0087"/>
    <x v="86"/>
    <s v="Apr"/>
    <x v="18"/>
    <x v="5"/>
    <x v="0"/>
    <x v="59"/>
    <n v="13.88"/>
    <x v="86"/>
  </r>
  <r>
    <s v="S0088"/>
    <x v="87"/>
    <s v="Apr"/>
    <x v="10"/>
    <x v="3"/>
    <x v="1"/>
    <x v="60"/>
    <n v="7.07"/>
    <x v="87"/>
  </r>
  <r>
    <s v="S0089"/>
    <x v="88"/>
    <s v="Apr"/>
    <x v="0"/>
    <x v="0"/>
    <x v="0"/>
    <x v="61"/>
    <n v="18.36"/>
    <x v="88"/>
  </r>
  <r>
    <s v="S0090"/>
    <x v="89"/>
    <s v="Apr"/>
    <x v="5"/>
    <x v="5"/>
    <x v="1"/>
    <x v="37"/>
    <n v="6.43"/>
    <x v="89"/>
  </r>
  <r>
    <s v="S0091"/>
    <x v="90"/>
    <s v="Apr"/>
    <x v="1"/>
    <x v="1"/>
    <x v="0"/>
    <x v="62"/>
    <n v="14.81"/>
    <x v="90"/>
  </r>
  <r>
    <s v="S0092"/>
    <x v="91"/>
    <s v="Apr"/>
    <x v="2"/>
    <x v="2"/>
    <x v="0"/>
    <x v="44"/>
    <n v="23.74"/>
    <x v="91"/>
  </r>
  <r>
    <s v="S0093"/>
    <x v="92"/>
    <s v="Apr"/>
    <x v="17"/>
    <x v="2"/>
    <x v="1"/>
    <x v="60"/>
    <n v="16.59"/>
    <x v="92"/>
  </r>
  <r>
    <s v="S0094"/>
    <x v="93"/>
    <s v="Apr"/>
    <x v="18"/>
    <x v="5"/>
    <x v="0"/>
    <x v="63"/>
    <n v="14.51"/>
    <x v="93"/>
  </r>
  <r>
    <s v="S0095"/>
    <x v="94"/>
    <s v="Apr"/>
    <x v="5"/>
    <x v="5"/>
    <x v="1"/>
    <x v="45"/>
    <n v="6.39"/>
    <x v="94"/>
  </r>
  <r>
    <s v="S0096"/>
    <x v="95"/>
    <s v="Apr"/>
    <x v="2"/>
    <x v="2"/>
    <x v="0"/>
    <x v="64"/>
    <n v="23.65"/>
    <x v="95"/>
  </r>
  <r>
    <s v="S0097"/>
    <x v="96"/>
    <s v="Apr"/>
    <x v="11"/>
    <x v="1"/>
    <x v="1"/>
    <x v="34"/>
    <n v="7.96"/>
    <x v="96"/>
  </r>
  <r>
    <s v="S0098"/>
    <x v="97"/>
    <s v="Apr"/>
    <x v="5"/>
    <x v="5"/>
    <x v="1"/>
    <x v="65"/>
    <n v="6.08"/>
    <x v="97"/>
  </r>
  <r>
    <s v="S0099"/>
    <x v="98"/>
    <s v="Apr"/>
    <x v="12"/>
    <x v="3"/>
    <x v="0"/>
    <x v="49"/>
    <n v="12.39"/>
    <x v="98"/>
  </r>
  <r>
    <s v="S0100"/>
    <x v="99"/>
    <s v="Apr"/>
    <x v="5"/>
    <x v="5"/>
    <x v="1"/>
    <x v="66"/>
    <n v="5.7"/>
    <x v="99"/>
  </r>
  <r>
    <s v="S0101"/>
    <x v="100"/>
    <s v="Apr"/>
    <x v="7"/>
    <x v="0"/>
    <x v="1"/>
    <x v="67"/>
    <n v="9.6999999999999993"/>
    <x v="100"/>
  </r>
  <r>
    <s v="S0102"/>
    <x v="101"/>
    <s v="Apr"/>
    <x v="9"/>
    <x v="7"/>
    <x v="1"/>
    <x v="68"/>
    <n v="6.25"/>
    <x v="101"/>
  </r>
  <r>
    <s v="S0103"/>
    <x v="102"/>
    <s v="Apr"/>
    <x v="3"/>
    <x v="3"/>
    <x v="1"/>
    <x v="45"/>
    <n v="4.8"/>
    <x v="102"/>
  </r>
  <r>
    <s v="S0104"/>
    <x v="103"/>
    <s v="Apr"/>
    <x v="7"/>
    <x v="0"/>
    <x v="1"/>
    <x v="69"/>
    <n v="8.59"/>
    <x v="103"/>
  </r>
  <r>
    <s v="S0105"/>
    <x v="104"/>
    <s v="Apr"/>
    <x v="14"/>
    <x v="4"/>
    <x v="1"/>
    <x v="68"/>
    <n v="8.7200000000000006"/>
    <x v="104"/>
  </r>
  <r>
    <s v="S0106"/>
    <x v="105"/>
    <s v="Apr"/>
    <x v="12"/>
    <x v="3"/>
    <x v="0"/>
    <x v="36"/>
    <n v="11.97"/>
    <x v="105"/>
  </r>
  <r>
    <s v="S0107"/>
    <x v="106"/>
    <s v="Apr"/>
    <x v="12"/>
    <x v="3"/>
    <x v="0"/>
    <x v="70"/>
    <n v="11.96"/>
    <x v="106"/>
  </r>
  <r>
    <s v="S0108"/>
    <x v="107"/>
    <s v="Apr"/>
    <x v="1"/>
    <x v="1"/>
    <x v="0"/>
    <x v="71"/>
    <n v="14.45"/>
    <x v="107"/>
  </r>
  <r>
    <s v="S0109"/>
    <x v="108"/>
    <s v="Apr"/>
    <x v="2"/>
    <x v="2"/>
    <x v="0"/>
    <x v="72"/>
    <n v="25.53"/>
    <x v="108"/>
  </r>
  <r>
    <s v="S0110"/>
    <x v="109"/>
    <s v="Apr"/>
    <x v="7"/>
    <x v="0"/>
    <x v="1"/>
    <x v="73"/>
    <n v="9.64"/>
    <x v="109"/>
  </r>
  <r>
    <s v="S0111"/>
    <x v="110"/>
    <s v="Apr"/>
    <x v="6"/>
    <x v="0"/>
    <x v="1"/>
    <x v="74"/>
    <n v="11.61"/>
    <x v="110"/>
  </r>
  <r>
    <s v="S0112"/>
    <x v="111"/>
    <s v="Apr"/>
    <x v="3"/>
    <x v="3"/>
    <x v="1"/>
    <x v="75"/>
    <n v="5.23"/>
    <x v="111"/>
  </r>
  <r>
    <s v="S0113"/>
    <x v="112"/>
    <s v="Apr"/>
    <x v="16"/>
    <x v="8"/>
    <x v="0"/>
    <x v="74"/>
    <n v="22.82"/>
    <x v="112"/>
  </r>
  <r>
    <s v="S0114"/>
    <x v="113"/>
    <s v="May"/>
    <x v="1"/>
    <x v="1"/>
    <x v="0"/>
    <x v="76"/>
    <n v="14.56"/>
    <x v="113"/>
  </r>
  <r>
    <s v="S0115"/>
    <x v="114"/>
    <s v="May"/>
    <x v="0"/>
    <x v="0"/>
    <x v="0"/>
    <x v="77"/>
    <n v="19.14"/>
    <x v="114"/>
  </r>
  <r>
    <s v="S0116"/>
    <x v="115"/>
    <s v="May"/>
    <x v="15"/>
    <x v="7"/>
    <x v="0"/>
    <x v="50"/>
    <n v="12.69"/>
    <x v="115"/>
  </r>
  <r>
    <s v="S0117"/>
    <x v="116"/>
    <s v="May"/>
    <x v="8"/>
    <x v="6"/>
    <x v="0"/>
    <x v="36"/>
    <n v="26.42"/>
    <x v="116"/>
  </r>
  <r>
    <s v="S0118"/>
    <x v="117"/>
    <s v="May"/>
    <x v="1"/>
    <x v="1"/>
    <x v="0"/>
    <x v="50"/>
    <n v="14.3"/>
    <x v="117"/>
  </r>
  <r>
    <s v="S0119"/>
    <x v="118"/>
    <s v="May"/>
    <x v="19"/>
    <x v="8"/>
    <x v="1"/>
    <x v="40"/>
    <n v="6.9"/>
    <x v="118"/>
  </r>
  <r>
    <s v="S0120"/>
    <x v="119"/>
    <s v="May"/>
    <x v="5"/>
    <x v="5"/>
    <x v="1"/>
    <x v="78"/>
    <n v="6.2"/>
    <x v="119"/>
  </r>
  <r>
    <s v="S0121"/>
    <x v="120"/>
    <s v="May"/>
    <x v="2"/>
    <x v="2"/>
    <x v="0"/>
    <x v="40"/>
    <n v="25.73"/>
    <x v="120"/>
  </r>
  <r>
    <s v="S0122"/>
    <x v="121"/>
    <s v="May"/>
    <x v="5"/>
    <x v="5"/>
    <x v="1"/>
    <x v="75"/>
    <n v="6.15"/>
    <x v="121"/>
  </r>
  <r>
    <s v="S0123"/>
    <x v="122"/>
    <s v="May"/>
    <x v="12"/>
    <x v="3"/>
    <x v="0"/>
    <x v="79"/>
    <n v="12.33"/>
    <x v="122"/>
  </r>
  <r>
    <s v="S0124"/>
    <x v="123"/>
    <s v="May"/>
    <x v="13"/>
    <x v="6"/>
    <x v="1"/>
    <x v="80"/>
    <n v="10.29"/>
    <x v="123"/>
  </r>
  <r>
    <s v="S0125"/>
    <x v="124"/>
    <s v="May"/>
    <x v="0"/>
    <x v="0"/>
    <x v="0"/>
    <x v="81"/>
    <n v="19.2"/>
    <x v="124"/>
  </r>
  <r>
    <s v="S0126"/>
    <x v="125"/>
    <s v="May"/>
    <x v="5"/>
    <x v="5"/>
    <x v="1"/>
    <x v="82"/>
    <n v="6.25"/>
    <x v="125"/>
  </r>
  <r>
    <s v="S0127"/>
    <x v="126"/>
    <s v="May"/>
    <x v="17"/>
    <x v="2"/>
    <x v="1"/>
    <x v="32"/>
    <n v="16.88"/>
    <x v="126"/>
  </r>
  <r>
    <s v="S0128"/>
    <x v="127"/>
    <s v="May"/>
    <x v="11"/>
    <x v="1"/>
    <x v="1"/>
    <x v="57"/>
    <n v="8.0500000000000007"/>
    <x v="127"/>
  </r>
  <r>
    <s v="S0129"/>
    <x v="128"/>
    <s v="May"/>
    <x v="13"/>
    <x v="6"/>
    <x v="1"/>
    <x v="83"/>
    <n v="9.91"/>
    <x v="128"/>
  </r>
  <r>
    <s v="S0130"/>
    <x v="129"/>
    <s v="May"/>
    <x v="0"/>
    <x v="0"/>
    <x v="0"/>
    <x v="27"/>
    <n v="19.21"/>
    <x v="129"/>
  </r>
  <r>
    <s v="S0131"/>
    <x v="130"/>
    <s v="May"/>
    <x v="18"/>
    <x v="5"/>
    <x v="0"/>
    <x v="84"/>
    <n v="14.04"/>
    <x v="130"/>
  </r>
  <r>
    <s v="S0132"/>
    <x v="131"/>
    <s v="May"/>
    <x v="18"/>
    <x v="5"/>
    <x v="0"/>
    <x v="85"/>
    <n v="13.53"/>
    <x v="131"/>
  </r>
  <r>
    <s v="S0133"/>
    <x v="132"/>
    <s v="May"/>
    <x v="19"/>
    <x v="8"/>
    <x v="1"/>
    <x v="14"/>
    <n v="7.33"/>
    <x v="132"/>
  </r>
  <r>
    <s v="S0134"/>
    <x v="133"/>
    <s v="May"/>
    <x v="4"/>
    <x v="4"/>
    <x v="0"/>
    <x v="8"/>
    <n v="16.82"/>
    <x v="133"/>
  </r>
  <r>
    <s v="S0135"/>
    <x v="134"/>
    <s v="May"/>
    <x v="3"/>
    <x v="3"/>
    <x v="1"/>
    <x v="78"/>
    <n v="4.9400000000000004"/>
    <x v="134"/>
  </r>
  <r>
    <s v="S0136"/>
    <x v="135"/>
    <s v="May"/>
    <x v="14"/>
    <x v="4"/>
    <x v="1"/>
    <x v="86"/>
    <n v="9.32"/>
    <x v="135"/>
  </r>
  <r>
    <s v="S0137"/>
    <x v="136"/>
    <s v="May"/>
    <x v="9"/>
    <x v="7"/>
    <x v="1"/>
    <x v="65"/>
    <n v="6.23"/>
    <x v="136"/>
  </r>
  <r>
    <s v="S0138"/>
    <x v="137"/>
    <s v="May"/>
    <x v="15"/>
    <x v="7"/>
    <x v="0"/>
    <x v="28"/>
    <n v="13.87"/>
    <x v="137"/>
  </r>
  <r>
    <s v="S0139"/>
    <x v="138"/>
    <s v="May"/>
    <x v="6"/>
    <x v="0"/>
    <x v="1"/>
    <x v="87"/>
    <n v="10.57"/>
    <x v="138"/>
  </r>
  <r>
    <s v="S0140"/>
    <x v="139"/>
    <s v="May"/>
    <x v="4"/>
    <x v="4"/>
    <x v="0"/>
    <x v="81"/>
    <n v="16.36"/>
    <x v="139"/>
  </r>
  <r>
    <s v="S0141"/>
    <x v="140"/>
    <s v="May"/>
    <x v="1"/>
    <x v="1"/>
    <x v="0"/>
    <x v="14"/>
    <n v="14.86"/>
    <x v="140"/>
  </r>
  <r>
    <s v="S0142"/>
    <x v="141"/>
    <s v="May"/>
    <x v="11"/>
    <x v="1"/>
    <x v="1"/>
    <x v="75"/>
    <n v="7.63"/>
    <x v="141"/>
  </r>
  <r>
    <s v="S0143"/>
    <x v="142"/>
    <s v="May"/>
    <x v="15"/>
    <x v="7"/>
    <x v="0"/>
    <x v="46"/>
    <n v="13.79"/>
    <x v="142"/>
  </r>
  <r>
    <s v="S0144"/>
    <x v="143"/>
    <s v="May"/>
    <x v="9"/>
    <x v="7"/>
    <x v="1"/>
    <x v="88"/>
    <n v="6.39"/>
    <x v="143"/>
  </r>
  <r>
    <s v="S0145"/>
    <x v="144"/>
    <s v="Jun"/>
    <x v="11"/>
    <x v="1"/>
    <x v="1"/>
    <x v="89"/>
    <n v="8.32"/>
    <x v="144"/>
  </r>
  <r>
    <s v="S0146"/>
    <x v="145"/>
    <s v="Jun"/>
    <x v="19"/>
    <x v="8"/>
    <x v="1"/>
    <x v="18"/>
    <n v="6.78"/>
    <x v="145"/>
  </r>
  <r>
    <s v="S0147"/>
    <x v="146"/>
    <s v="Jun"/>
    <x v="3"/>
    <x v="3"/>
    <x v="1"/>
    <x v="90"/>
    <n v="5.24"/>
    <x v="146"/>
  </r>
  <r>
    <s v="S0148"/>
    <x v="147"/>
    <s v="Jun"/>
    <x v="0"/>
    <x v="0"/>
    <x v="0"/>
    <x v="91"/>
    <n v="18.09"/>
    <x v="147"/>
  </r>
  <r>
    <s v="S0149"/>
    <x v="148"/>
    <s v="Jun"/>
    <x v="17"/>
    <x v="2"/>
    <x v="1"/>
    <x v="92"/>
    <n v="15.3"/>
    <x v="148"/>
  </r>
  <r>
    <s v="S0150"/>
    <x v="149"/>
    <s v="Jun"/>
    <x v="0"/>
    <x v="0"/>
    <x v="0"/>
    <x v="52"/>
    <n v="17.41"/>
    <x v="149"/>
  </r>
  <r>
    <s v="S0151"/>
    <x v="150"/>
    <s v="Jun"/>
    <x v="17"/>
    <x v="2"/>
    <x v="1"/>
    <x v="67"/>
    <n v="16.440000000000001"/>
    <x v="150"/>
  </r>
  <r>
    <s v="S0152"/>
    <x v="151"/>
    <s v="Jun"/>
    <x v="9"/>
    <x v="7"/>
    <x v="1"/>
    <x v="46"/>
    <n v="6.34"/>
    <x v="151"/>
  </r>
  <r>
    <s v="S0153"/>
    <x v="152"/>
    <s v="Jun"/>
    <x v="16"/>
    <x v="8"/>
    <x v="0"/>
    <x v="63"/>
    <n v="23.49"/>
    <x v="152"/>
  </r>
  <r>
    <s v="S0154"/>
    <x v="153"/>
    <s v="Jun"/>
    <x v="6"/>
    <x v="0"/>
    <x v="1"/>
    <x v="93"/>
    <n v="11.68"/>
    <x v="153"/>
  </r>
  <r>
    <s v="S0155"/>
    <x v="154"/>
    <s v="Jun"/>
    <x v="5"/>
    <x v="5"/>
    <x v="1"/>
    <x v="11"/>
    <n v="5.89"/>
    <x v="154"/>
  </r>
  <r>
    <s v="S0156"/>
    <x v="155"/>
    <s v="Jun"/>
    <x v="5"/>
    <x v="5"/>
    <x v="1"/>
    <x v="94"/>
    <n v="6.31"/>
    <x v="155"/>
  </r>
  <r>
    <s v="S0157"/>
    <x v="156"/>
    <s v="Jun"/>
    <x v="1"/>
    <x v="1"/>
    <x v="0"/>
    <x v="26"/>
    <n v="15.11"/>
    <x v="156"/>
  </r>
  <r>
    <s v="S0158"/>
    <x v="157"/>
    <s v="Jun"/>
    <x v="18"/>
    <x v="5"/>
    <x v="0"/>
    <x v="17"/>
    <n v="13.79"/>
    <x v="157"/>
  </r>
  <r>
    <s v="S0159"/>
    <x v="158"/>
    <s v="Jun"/>
    <x v="2"/>
    <x v="2"/>
    <x v="0"/>
    <x v="45"/>
    <n v="23.23"/>
    <x v="158"/>
  </r>
  <r>
    <s v="S0160"/>
    <x v="159"/>
    <s v="Jun"/>
    <x v="19"/>
    <x v="8"/>
    <x v="1"/>
    <x v="95"/>
    <n v="6.79"/>
    <x v="159"/>
  </r>
  <r>
    <s v="S0161"/>
    <x v="160"/>
    <s v="Jun"/>
    <x v="10"/>
    <x v="3"/>
    <x v="1"/>
    <x v="88"/>
    <n v="7.02"/>
    <x v="160"/>
  </r>
  <r>
    <s v="S0162"/>
    <x v="161"/>
    <s v="Jun"/>
    <x v="9"/>
    <x v="7"/>
    <x v="1"/>
    <x v="88"/>
    <n v="5.75"/>
    <x v="161"/>
  </r>
  <r>
    <s v="S0163"/>
    <x v="162"/>
    <s v="Jun"/>
    <x v="16"/>
    <x v="8"/>
    <x v="0"/>
    <x v="15"/>
    <n v="23.49"/>
    <x v="162"/>
  </r>
  <r>
    <s v="S0164"/>
    <x v="163"/>
    <s v="Jun"/>
    <x v="3"/>
    <x v="3"/>
    <x v="1"/>
    <x v="4"/>
    <n v="5.32"/>
    <x v="163"/>
  </r>
  <r>
    <s v="S0165"/>
    <x v="164"/>
    <s v="Jun"/>
    <x v="19"/>
    <x v="8"/>
    <x v="1"/>
    <x v="68"/>
    <n v="6.66"/>
    <x v="164"/>
  </r>
  <r>
    <s v="S0166"/>
    <x v="165"/>
    <s v="Jun"/>
    <x v="18"/>
    <x v="5"/>
    <x v="0"/>
    <x v="11"/>
    <n v="14.01"/>
    <x v="165"/>
  </r>
  <r>
    <s v="S0167"/>
    <x v="166"/>
    <s v="Jun"/>
    <x v="16"/>
    <x v="8"/>
    <x v="0"/>
    <x v="96"/>
    <n v="23.04"/>
    <x v="166"/>
  </r>
  <r>
    <s v="S0168"/>
    <x v="167"/>
    <s v="Jun"/>
    <x v="4"/>
    <x v="4"/>
    <x v="0"/>
    <x v="90"/>
    <n v="16.64"/>
    <x v="167"/>
  </r>
  <r>
    <s v="S0169"/>
    <x v="168"/>
    <s v="Jun"/>
    <x v="5"/>
    <x v="5"/>
    <x v="1"/>
    <x v="19"/>
    <n v="6.08"/>
    <x v="168"/>
  </r>
  <r>
    <s v="S0170"/>
    <x v="169"/>
    <s v="Jun"/>
    <x v="13"/>
    <x v="6"/>
    <x v="1"/>
    <x v="84"/>
    <n v="10.38"/>
    <x v="169"/>
  </r>
  <r>
    <s v="S0171"/>
    <x v="170"/>
    <s v="Jun"/>
    <x v="6"/>
    <x v="0"/>
    <x v="1"/>
    <x v="24"/>
    <n v="11.12"/>
    <x v="170"/>
  </r>
  <r>
    <s v="S0172"/>
    <x v="171"/>
    <s v="Jun"/>
    <x v="4"/>
    <x v="4"/>
    <x v="0"/>
    <x v="96"/>
    <n v="16.21"/>
    <x v="171"/>
  </r>
  <r>
    <s v="S0173"/>
    <x v="172"/>
    <s v="Jun"/>
    <x v="14"/>
    <x v="4"/>
    <x v="1"/>
    <x v="8"/>
    <n v="9.33"/>
    <x v="172"/>
  </r>
  <r>
    <s v="S0174"/>
    <x v="173"/>
    <s v="Jun"/>
    <x v="16"/>
    <x v="8"/>
    <x v="0"/>
    <x v="97"/>
    <n v="23.38"/>
    <x v="173"/>
  </r>
  <r>
    <s v="S0175"/>
    <x v="174"/>
    <s v="Jul"/>
    <x v="12"/>
    <x v="3"/>
    <x v="0"/>
    <x v="36"/>
    <n v="11.99"/>
    <x v="174"/>
  </r>
  <r>
    <s v="S0176"/>
    <x v="175"/>
    <s v="Jul"/>
    <x v="9"/>
    <x v="7"/>
    <x v="1"/>
    <x v="77"/>
    <n v="5.96"/>
    <x v="175"/>
  </r>
  <r>
    <s v="S0177"/>
    <x v="176"/>
    <s v="Jul"/>
    <x v="5"/>
    <x v="5"/>
    <x v="1"/>
    <x v="11"/>
    <n v="6.44"/>
    <x v="176"/>
  </r>
  <r>
    <s v="S0178"/>
    <x v="177"/>
    <s v="Jul"/>
    <x v="5"/>
    <x v="5"/>
    <x v="1"/>
    <x v="63"/>
    <n v="5.76"/>
    <x v="177"/>
  </r>
  <r>
    <s v="S0179"/>
    <x v="178"/>
    <s v="Jul"/>
    <x v="2"/>
    <x v="2"/>
    <x v="0"/>
    <x v="61"/>
    <n v="25.92"/>
    <x v="178"/>
  </r>
  <r>
    <s v="S0180"/>
    <x v="179"/>
    <s v="Jul"/>
    <x v="1"/>
    <x v="1"/>
    <x v="0"/>
    <x v="53"/>
    <n v="14.38"/>
    <x v="179"/>
  </r>
  <r>
    <s v="S0181"/>
    <x v="180"/>
    <s v="Jul"/>
    <x v="12"/>
    <x v="3"/>
    <x v="0"/>
    <x v="11"/>
    <n v="11.45"/>
    <x v="180"/>
  </r>
  <r>
    <s v="S0182"/>
    <x v="181"/>
    <s v="Jul"/>
    <x v="11"/>
    <x v="1"/>
    <x v="1"/>
    <x v="24"/>
    <n v="7.62"/>
    <x v="181"/>
  </r>
  <r>
    <s v="S0183"/>
    <x v="182"/>
    <s v="Jul"/>
    <x v="1"/>
    <x v="1"/>
    <x v="0"/>
    <x v="29"/>
    <n v="15.17"/>
    <x v="182"/>
  </r>
  <r>
    <s v="S0184"/>
    <x v="183"/>
    <s v="Jul"/>
    <x v="14"/>
    <x v="4"/>
    <x v="1"/>
    <x v="98"/>
    <n v="9.09"/>
    <x v="183"/>
  </r>
  <r>
    <s v="S0185"/>
    <x v="184"/>
    <s v="Jul"/>
    <x v="8"/>
    <x v="6"/>
    <x v="0"/>
    <x v="99"/>
    <n v="25.72"/>
    <x v="184"/>
  </r>
  <r>
    <s v="S0186"/>
    <x v="185"/>
    <s v="Jul"/>
    <x v="0"/>
    <x v="0"/>
    <x v="0"/>
    <x v="91"/>
    <n v="19.02"/>
    <x v="185"/>
  </r>
  <r>
    <s v="S0187"/>
    <x v="186"/>
    <s v="Jul"/>
    <x v="0"/>
    <x v="0"/>
    <x v="0"/>
    <x v="9"/>
    <n v="17.16"/>
    <x v="186"/>
  </r>
  <r>
    <s v="S0188"/>
    <x v="187"/>
    <s v="Jul"/>
    <x v="14"/>
    <x v="4"/>
    <x v="1"/>
    <x v="14"/>
    <n v="9.61"/>
    <x v="187"/>
  </r>
  <r>
    <s v="S0189"/>
    <x v="188"/>
    <s v="Jul"/>
    <x v="19"/>
    <x v="8"/>
    <x v="1"/>
    <x v="23"/>
    <n v="7.3"/>
    <x v="188"/>
  </r>
  <r>
    <s v="S0190"/>
    <x v="189"/>
    <s v="Jul"/>
    <x v="14"/>
    <x v="4"/>
    <x v="1"/>
    <x v="95"/>
    <n v="9.52"/>
    <x v="189"/>
  </r>
  <r>
    <s v="S0191"/>
    <x v="190"/>
    <s v="Jul"/>
    <x v="0"/>
    <x v="0"/>
    <x v="0"/>
    <x v="100"/>
    <n v="18.91"/>
    <x v="190"/>
  </r>
  <r>
    <s v="S0192"/>
    <x v="191"/>
    <s v="Jul"/>
    <x v="4"/>
    <x v="4"/>
    <x v="0"/>
    <x v="38"/>
    <n v="16.420000000000002"/>
    <x v="191"/>
  </r>
  <r>
    <s v="S0193"/>
    <x v="192"/>
    <s v="Jul"/>
    <x v="12"/>
    <x v="3"/>
    <x v="0"/>
    <x v="55"/>
    <n v="12.23"/>
    <x v="192"/>
  </r>
  <r>
    <s v="S0194"/>
    <x v="193"/>
    <s v="Jul"/>
    <x v="8"/>
    <x v="6"/>
    <x v="0"/>
    <x v="49"/>
    <n v="25.39"/>
    <x v="193"/>
  </r>
  <r>
    <s v="S0195"/>
    <x v="194"/>
    <s v="Jul"/>
    <x v="3"/>
    <x v="3"/>
    <x v="1"/>
    <x v="101"/>
    <n v="5.0199999999999996"/>
    <x v="194"/>
  </r>
  <r>
    <s v="S0196"/>
    <x v="195"/>
    <s v="Jul"/>
    <x v="0"/>
    <x v="0"/>
    <x v="0"/>
    <x v="19"/>
    <n v="19.350000000000001"/>
    <x v="195"/>
  </r>
  <r>
    <s v="S0197"/>
    <x v="196"/>
    <s v="Jul"/>
    <x v="9"/>
    <x v="7"/>
    <x v="1"/>
    <x v="74"/>
    <n v="5.82"/>
    <x v="196"/>
  </r>
  <r>
    <s v="S0198"/>
    <x v="197"/>
    <s v="Jul"/>
    <x v="17"/>
    <x v="2"/>
    <x v="1"/>
    <x v="53"/>
    <n v="15.76"/>
    <x v="197"/>
  </r>
  <r>
    <s v="S0199"/>
    <x v="198"/>
    <s v="Jul"/>
    <x v="2"/>
    <x v="2"/>
    <x v="0"/>
    <x v="91"/>
    <n v="24.31"/>
    <x v="198"/>
  </r>
  <r>
    <s v="S0200"/>
    <x v="199"/>
    <s v="Jul"/>
    <x v="14"/>
    <x v="4"/>
    <x v="1"/>
    <x v="43"/>
    <n v="8.93"/>
    <x v="199"/>
  </r>
  <r>
    <s v="S0201"/>
    <x v="200"/>
    <s v="Jul"/>
    <x v="10"/>
    <x v="3"/>
    <x v="1"/>
    <x v="6"/>
    <n v="7.45"/>
    <x v="200"/>
  </r>
  <r>
    <s v="S0202"/>
    <x v="201"/>
    <s v="Jul"/>
    <x v="9"/>
    <x v="7"/>
    <x v="1"/>
    <x v="47"/>
    <n v="6.18"/>
    <x v="201"/>
  </r>
  <r>
    <s v="S0203"/>
    <x v="202"/>
    <s v="Jul"/>
    <x v="13"/>
    <x v="6"/>
    <x v="1"/>
    <x v="102"/>
    <n v="10.14"/>
    <x v="202"/>
  </r>
  <r>
    <s v="S0204"/>
    <x v="203"/>
    <s v="Jul"/>
    <x v="6"/>
    <x v="0"/>
    <x v="1"/>
    <x v="21"/>
    <n v="10.75"/>
    <x v="203"/>
  </r>
  <r>
    <s v="S0205"/>
    <x v="204"/>
    <s v="Jul"/>
    <x v="5"/>
    <x v="5"/>
    <x v="1"/>
    <x v="103"/>
    <n v="5.92"/>
    <x v="204"/>
  </r>
  <r>
    <s v="S0206"/>
    <x v="205"/>
    <s v="Aug"/>
    <x v="5"/>
    <x v="5"/>
    <x v="1"/>
    <x v="104"/>
    <n v="5.71"/>
    <x v="205"/>
  </r>
  <r>
    <s v="S0207"/>
    <x v="206"/>
    <s v="Aug"/>
    <x v="10"/>
    <x v="3"/>
    <x v="1"/>
    <x v="58"/>
    <n v="7.31"/>
    <x v="206"/>
  </r>
  <r>
    <s v="S0208"/>
    <x v="207"/>
    <s v="Aug"/>
    <x v="2"/>
    <x v="2"/>
    <x v="0"/>
    <x v="14"/>
    <n v="23.55"/>
    <x v="207"/>
  </r>
  <r>
    <s v="S0209"/>
    <x v="208"/>
    <s v="Aug"/>
    <x v="15"/>
    <x v="7"/>
    <x v="0"/>
    <x v="105"/>
    <n v="13.69"/>
    <x v="208"/>
  </r>
  <r>
    <s v="S0210"/>
    <x v="209"/>
    <s v="Aug"/>
    <x v="18"/>
    <x v="5"/>
    <x v="0"/>
    <x v="50"/>
    <n v="14.04"/>
    <x v="209"/>
  </r>
  <r>
    <s v="S0211"/>
    <x v="210"/>
    <s v="Aug"/>
    <x v="18"/>
    <x v="5"/>
    <x v="0"/>
    <x v="9"/>
    <n v="14.36"/>
    <x v="210"/>
  </r>
  <r>
    <s v="S0212"/>
    <x v="211"/>
    <s v="Aug"/>
    <x v="2"/>
    <x v="2"/>
    <x v="0"/>
    <x v="92"/>
    <n v="23.87"/>
    <x v="211"/>
  </r>
  <r>
    <s v="S0213"/>
    <x v="212"/>
    <s v="Aug"/>
    <x v="2"/>
    <x v="2"/>
    <x v="0"/>
    <x v="40"/>
    <n v="23.9"/>
    <x v="212"/>
  </r>
  <r>
    <s v="S0214"/>
    <x v="213"/>
    <s v="Aug"/>
    <x v="5"/>
    <x v="5"/>
    <x v="1"/>
    <x v="36"/>
    <n v="5.9"/>
    <x v="213"/>
  </r>
  <r>
    <s v="S0215"/>
    <x v="214"/>
    <s v="Aug"/>
    <x v="11"/>
    <x v="1"/>
    <x v="1"/>
    <x v="43"/>
    <n v="7.72"/>
    <x v="214"/>
  </r>
  <r>
    <s v="S0216"/>
    <x v="215"/>
    <s v="Aug"/>
    <x v="6"/>
    <x v="0"/>
    <x v="1"/>
    <x v="1"/>
    <n v="10.76"/>
    <x v="215"/>
  </r>
  <r>
    <s v="S0217"/>
    <x v="216"/>
    <s v="Aug"/>
    <x v="5"/>
    <x v="5"/>
    <x v="1"/>
    <x v="106"/>
    <n v="6.16"/>
    <x v="216"/>
  </r>
  <r>
    <s v="S0218"/>
    <x v="217"/>
    <s v="Aug"/>
    <x v="17"/>
    <x v="2"/>
    <x v="1"/>
    <x v="54"/>
    <n v="15.79"/>
    <x v="217"/>
  </r>
  <r>
    <s v="S0219"/>
    <x v="218"/>
    <s v="Aug"/>
    <x v="11"/>
    <x v="1"/>
    <x v="1"/>
    <x v="18"/>
    <n v="7.84"/>
    <x v="218"/>
  </r>
  <r>
    <s v="S0220"/>
    <x v="219"/>
    <s v="Aug"/>
    <x v="18"/>
    <x v="5"/>
    <x v="0"/>
    <x v="60"/>
    <n v="14.59"/>
    <x v="219"/>
  </r>
  <r>
    <s v="S0221"/>
    <x v="220"/>
    <s v="Aug"/>
    <x v="5"/>
    <x v="5"/>
    <x v="1"/>
    <x v="66"/>
    <n v="6.46"/>
    <x v="220"/>
  </r>
  <r>
    <s v="S0222"/>
    <x v="221"/>
    <s v="Aug"/>
    <x v="18"/>
    <x v="5"/>
    <x v="0"/>
    <x v="83"/>
    <n v="15.02"/>
    <x v="221"/>
  </r>
  <r>
    <s v="S0223"/>
    <x v="222"/>
    <s v="Aug"/>
    <x v="15"/>
    <x v="7"/>
    <x v="0"/>
    <x v="79"/>
    <n v="13.82"/>
    <x v="222"/>
  </r>
  <r>
    <s v="S0224"/>
    <x v="223"/>
    <s v="Aug"/>
    <x v="18"/>
    <x v="5"/>
    <x v="0"/>
    <x v="25"/>
    <n v="14.17"/>
    <x v="223"/>
  </r>
  <r>
    <s v="S0225"/>
    <x v="224"/>
    <s v="Aug"/>
    <x v="6"/>
    <x v="0"/>
    <x v="1"/>
    <x v="107"/>
    <n v="10.81"/>
    <x v="224"/>
  </r>
  <r>
    <s v="S0226"/>
    <x v="225"/>
    <s v="Aug"/>
    <x v="15"/>
    <x v="7"/>
    <x v="0"/>
    <x v="45"/>
    <n v="13.74"/>
    <x v="225"/>
  </r>
  <r>
    <s v="S0227"/>
    <x v="226"/>
    <s v="Aug"/>
    <x v="15"/>
    <x v="7"/>
    <x v="0"/>
    <x v="61"/>
    <n v="13.33"/>
    <x v="226"/>
  </r>
  <r>
    <s v="S0228"/>
    <x v="227"/>
    <s v="Aug"/>
    <x v="12"/>
    <x v="3"/>
    <x v="0"/>
    <x v="64"/>
    <n v="11.63"/>
    <x v="227"/>
  </r>
  <r>
    <s v="S0229"/>
    <x v="228"/>
    <s v="Aug"/>
    <x v="18"/>
    <x v="5"/>
    <x v="0"/>
    <x v="108"/>
    <n v="15.11"/>
    <x v="228"/>
  </r>
  <r>
    <s v="S0230"/>
    <x v="229"/>
    <s v="Aug"/>
    <x v="2"/>
    <x v="2"/>
    <x v="0"/>
    <x v="14"/>
    <n v="24.1"/>
    <x v="229"/>
  </r>
  <r>
    <s v="S0231"/>
    <x v="230"/>
    <s v="Aug"/>
    <x v="4"/>
    <x v="4"/>
    <x v="0"/>
    <x v="50"/>
    <n v="17.86"/>
    <x v="230"/>
  </r>
  <r>
    <s v="S0232"/>
    <x v="231"/>
    <s v="Aug"/>
    <x v="9"/>
    <x v="7"/>
    <x v="1"/>
    <x v="38"/>
    <n v="6.05"/>
    <x v="231"/>
  </r>
  <r>
    <s v="S0233"/>
    <x v="232"/>
    <s v="Aug"/>
    <x v="14"/>
    <x v="4"/>
    <x v="1"/>
    <x v="109"/>
    <n v="8.91"/>
    <x v="232"/>
  </r>
  <r>
    <s v="S0234"/>
    <x v="233"/>
    <s v="Aug"/>
    <x v="12"/>
    <x v="3"/>
    <x v="0"/>
    <x v="31"/>
    <n v="12.9"/>
    <x v="233"/>
  </r>
  <r>
    <s v="S0235"/>
    <x v="234"/>
    <s v="Aug"/>
    <x v="11"/>
    <x v="1"/>
    <x v="1"/>
    <x v="85"/>
    <n v="7.82"/>
    <x v="234"/>
  </r>
  <r>
    <s v="S0236"/>
    <x v="235"/>
    <s v="Aug"/>
    <x v="10"/>
    <x v="3"/>
    <x v="1"/>
    <x v="29"/>
    <n v="6.87"/>
    <x v="235"/>
  </r>
  <r>
    <s v="S0237"/>
    <x v="236"/>
    <s v="Sep"/>
    <x v="10"/>
    <x v="3"/>
    <x v="1"/>
    <x v="29"/>
    <n v="6.65"/>
    <x v="236"/>
  </r>
  <r>
    <s v="S0238"/>
    <x v="237"/>
    <s v="Sep"/>
    <x v="4"/>
    <x v="4"/>
    <x v="0"/>
    <x v="25"/>
    <n v="16.79"/>
    <x v="237"/>
  </r>
  <r>
    <s v="S0239"/>
    <x v="238"/>
    <s v="Sep"/>
    <x v="18"/>
    <x v="5"/>
    <x v="0"/>
    <x v="44"/>
    <n v="13.81"/>
    <x v="238"/>
  </r>
  <r>
    <s v="S0240"/>
    <x v="239"/>
    <s v="Sep"/>
    <x v="9"/>
    <x v="7"/>
    <x v="1"/>
    <x v="61"/>
    <n v="6.24"/>
    <x v="239"/>
  </r>
  <r>
    <s v="S0241"/>
    <x v="240"/>
    <s v="Sep"/>
    <x v="14"/>
    <x v="4"/>
    <x v="1"/>
    <x v="9"/>
    <n v="9.49"/>
    <x v="240"/>
  </r>
  <r>
    <s v="S0242"/>
    <x v="241"/>
    <s v="Sep"/>
    <x v="16"/>
    <x v="8"/>
    <x v="0"/>
    <x v="45"/>
    <n v="22.46"/>
    <x v="241"/>
  </r>
  <r>
    <s v="S0243"/>
    <x v="242"/>
    <s v="Sep"/>
    <x v="7"/>
    <x v="0"/>
    <x v="1"/>
    <x v="38"/>
    <n v="8.86"/>
    <x v="242"/>
  </r>
  <r>
    <s v="S0244"/>
    <x v="243"/>
    <s v="Sep"/>
    <x v="10"/>
    <x v="3"/>
    <x v="1"/>
    <x v="0"/>
    <n v="6.8"/>
    <x v="243"/>
  </r>
  <r>
    <s v="S0245"/>
    <x v="244"/>
    <s v="Sep"/>
    <x v="4"/>
    <x v="4"/>
    <x v="0"/>
    <x v="87"/>
    <n v="17.97"/>
    <x v="244"/>
  </r>
  <r>
    <s v="S0246"/>
    <x v="245"/>
    <s v="Sep"/>
    <x v="9"/>
    <x v="7"/>
    <x v="1"/>
    <x v="110"/>
    <n v="6.07"/>
    <x v="245"/>
  </r>
  <r>
    <s v="S0247"/>
    <x v="246"/>
    <s v="Sep"/>
    <x v="19"/>
    <x v="8"/>
    <x v="1"/>
    <x v="24"/>
    <n v="6.9"/>
    <x v="246"/>
  </r>
  <r>
    <s v="S0248"/>
    <x v="247"/>
    <s v="Sep"/>
    <x v="15"/>
    <x v="7"/>
    <x v="0"/>
    <x v="15"/>
    <n v="12.49"/>
    <x v="247"/>
  </r>
  <r>
    <s v="S0249"/>
    <x v="248"/>
    <s v="Sep"/>
    <x v="16"/>
    <x v="8"/>
    <x v="0"/>
    <x v="53"/>
    <n v="21.82"/>
    <x v="248"/>
  </r>
  <r>
    <s v="S0250"/>
    <x v="249"/>
    <s v="Sep"/>
    <x v="3"/>
    <x v="3"/>
    <x v="1"/>
    <x v="49"/>
    <n v="4.9000000000000004"/>
    <x v="249"/>
  </r>
  <r>
    <s v="S0251"/>
    <x v="250"/>
    <s v="Sep"/>
    <x v="14"/>
    <x v="4"/>
    <x v="1"/>
    <x v="111"/>
    <n v="9.66"/>
    <x v="250"/>
  </r>
  <r>
    <s v="S0252"/>
    <x v="251"/>
    <s v="Sep"/>
    <x v="5"/>
    <x v="5"/>
    <x v="1"/>
    <x v="112"/>
    <n v="5.73"/>
    <x v="251"/>
  </r>
  <r>
    <s v="S0253"/>
    <x v="252"/>
    <s v="Sep"/>
    <x v="6"/>
    <x v="0"/>
    <x v="1"/>
    <x v="25"/>
    <n v="11.19"/>
    <x v="252"/>
  </r>
  <r>
    <s v="S0254"/>
    <x v="253"/>
    <s v="Sep"/>
    <x v="5"/>
    <x v="5"/>
    <x v="1"/>
    <x v="113"/>
    <n v="6.48"/>
    <x v="253"/>
  </r>
  <r>
    <s v="S0255"/>
    <x v="254"/>
    <s v="Sep"/>
    <x v="15"/>
    <x v="7"/>
    <x v="0"/>
    <x v="49"/>
    <n v="13.14"/>
    <x v="254"/>
  </r>
  <r>
    <s v="S0256"/>
    <x v="255"/>
    <s v="Sep"/>
    <x v="13"/>
    <x v="6"/>
    <x v="1"/>
    <x v="26"/>
    <n v="10.37"/>
    <x v="255"/>
  </r>
  <r>
    <s v="S0257"/>
    <x v="256"/>
    <s v="Sep"/>
    <x v="6"/>
    <x v="0"/>
    <x v="1"/>
    <x v="40"/>
    <n v="11.04"/>
    <x v="256"/>
  </r>
  <r>
    <s v="S0258"/>
    <x v="257"/>
    <s v="Sep"/>
    <x v="18"/>
    <x v="5"/>
    <x v="0"/>
    <x v="9"/>
    <n v="15.02"/>
    <x v="257"/>
  </r>
  <r>
    <s v="S0259"/>
    <x v="258"/>
    <s v="Sep"/>
    <x v="2"/>
    <x v="2"/>
    <x v="0"/>
    <x v="30"/>
    <n v="24.22"/>
    <x v="258"/>
  </r>
  <r>
    <s v="S0260"/>
    <x v="259"/>
    <s v="Sep"/>
    <x v="5"/>
    <x v="5"/>
    <x v="1"/>
    <x v="26"/>
    <n v="5.79"/>
    <x v="259"/>
  </r>
  <r>
    <s v="S0261"/>
    <x v="260"/>
    <s v="Sep"/>
    <x v="19"/>
    <x v="8"/>
    <x v="1"/>
    <x v="94"/>
    <n v="7.12"/>
    <x v="260"/>
  </r>
  <r>
    <s v="S0262"/>
    <x v="261"/>
    <s v="Sep"/>
    <x v="2"/>
    <x v="2"/>
    <x v="0"/>
    <x v="51"/>
    <n v="24.09"/>
    <x v="261"/>
  </r>
  <r>
    <s v="S0263"/>
    <x v="262"/>
    <s v="Sep"/>
    <x v="17"/>
    <x v="2"/>
    <x v="1"/>
    <x v="114"/>
    <n v="16.5"/>
    <x v="262"/>
  </r>
  <r>
    <s v="S0264"/>
    <x v="263"/>
    <s v="Sep"/>
    <x v="9"/>
    <x v="7"/>
    <x v="1"/>
    <x v="14"/>
    <n v="5.74"/>
    <x v="263"/>
  </r>
  <r>
    <s v="S0265"/>
    <x v="264"/>
    <s v="Sep"/>
    <x v="2"/>
    <x v="2"/>
    <x v="0"/>
    <x v="37"/>
    <n v="25.69"/>
    <x v="264"/>
  </r>
  <r>
    <s v="S0266"/>
    <x v="265"/>
    <s v="Sep"/>
    <x v="15"/>
    <x v="7"/>
    <x v="0"/>
    <x v="110"/>
    <n v="12.4"/>
    <x v="265"/>
  </r>
  <r>
    <s v="S0267"/>
    <x v="266"/>
    <s v="Oct"/>
    <x v="4"/>
    <x v="4"/>
    <x v="0"/>
    <x v="74"/>
    <n v="16.68"/>
    <x v="266"/>
  </r>
  <r>
    <s v="S0268"/>
    <x v="267"/>
    <s v="Oct"/>
    <x v="18"/>
    <x v="5"/>
    <x v="0"/>
    <x v="68"/>
    <n v="13.32"/>
    <x v="267"/>
  </r>
  <r>
    <s v="S0269"/>
    <x v="268"/>
    <s v="Oct"/>
    <x v="10"/>
    <x v="3"/>
    <x v="1"/>
    <x v="50"/>
    <n v="7.55"/>
    <x v="268"/>
  </r>
  <r>
    <s v="S0270"/>
    <x v="269"/>
    <s v="Oct"/>
    <x v="9"/>
    <x v="7"/>
    <x v="1"/>
    <x v="110"/>
    <n v="6.21"/>
    <x v="269"/>
  </r>
  <r>
    <s v="S0271"/>
    <x v="270"/>
    <s v="Oct"/>
    <x v="15"/>
    <x v="7"/>
    <x v="0"/>
    <x v="63"/>
    <n v="13.56"/>
    <x v="270"/>
  </r>
  <r>
    <s v="S0272"/>
    <x v="271"/>
    <s v="Oct"/>
    <x v="5"/>
    <x v="5"/>
    <x v="1"/>
    <x v="57"/>
    <n v="6.35"/>
    <x v="271"/>
  </r>
  <r>
    <s v="S0273"/>
    <x v="272"/>
    <s v="Oct"/>
    <x v="1"/>
    <x v="1"/>
    <x v="0"/>
    <x v="59"/>
    <n v="15.32"/>
    <x v="272"/>
  </r>
  <r>
    <s v="S0274"/>
    <x v="273"/>
    <s v="Oct"/>
    <x v="11"/>
    <x v="1"/>
    <x v="1"/>
    <x v="12"/>
    <n v="8.2200000000000006"/>
    <x v="273"/>
  </r>
  <r>
    <s v="S0275"/>
    <x v="274"/>
    <s v="Oct"/>
    <x v="7"/>
    <x v="0"/>
    <x v="1"/>
    <x v="94"/>
    <n v="8.6300000000000008"/>
    <x v="274"/>
  </r>
  <r>
    <s v="S0276"/>
    <x v="275"/>
    <s v="Oct"/>
    <x v="16"/>
    <x v="8"/>
    <x v="0"/>
    <x v="103"/>
    <n v="23.57"/>
    <x v="275"/>
  </r>
  <r>
    <s v="S0277"/>
    <x v="276"/>
    <s v="Oct"/>
    <x v="5"/>
    <x v="5"/>
    <x v="1"/>
    <x v="115"/>
    <n v="5.7"/>
    <x v="276"/>
  </r>
  <r>
    <s v="S0278"/>
    <x v="277"/>
    <s v="Oct"/>
    <x v="18"/>
    <x v="5"/>
    <x v="0"/>
    <x v="93"/>
    <n v="14.37"/>
    <x v="277"/>
  </r>
  <r>
    <s v="S0279"/>
    <x v="278"/>
    <s v="Oct"/>
    <x v="15"/>
    <x v="7"/>
    <x v="0"/>
    <x v="94"/>
    <n v="12.6"/>
    <x v="278"/>
  </r>
  <r>
    <s v="S0280"/>
    <x v="279"/>
    <s v="Oct"/>
    <x v="15"/>
    <x v="7"/>
    <x v="0"/>
    <x v="78"/>
    <n v="12.91"/>
    <x v="279"/>
  </r>
  <r>
    <s v="S0281"/>
    <x v="280"/>
    <s v="Oct"/>
    <x v="2"/>
    <x v="2"/>
    <x v="0"/>
    <x v="77"/>
    <n v="24.22"/>
    <x v="280"/>
  </r>
  <r>
    <s v="S0282"/>
    <x v="281"/>
    <s v="Oct"/>
    <x v="11"/>
    <x v="1"/>
    <x v="1"/>
    <x v="83"/>
    <n v="7.85"/>
    <x v="281"/>
  </r>
  <r>
    <s v="S0283"/>
    <x v="282"/>
    <s v="Oct"/>
    <x v="1"/>
    <x v="1"/>
    <x v="0"/>
    <x v="41"/>
    <n v="15.76"/>
    <x v="282"/>
  </r>
  <r>
    <s v="S0284"/>
    <x v="283"/>
    <s v="Oct"/>
    <x v="13"/>
    <x v="6"/>
    <x v="1"/>
    <x v="87"/>
    <n v="10.11"/>
    <x v="283"/>
  </r>
  <r>
    <s v="S0285"/>
    <x v="284"/>
    <s v="Oct"/>
    <x v="19"/>
    <x v="8"/>
    <x v="1"/>
    <x v="81"/>
    <n v="7.55"/>
    <x v="284"/>
  </r>
  <r>
    <s v="S0286"/>
    <x v="285"/>
    <s v="Oct"/>
    <x v="7"/>
    <x v="0"/>
    <x v="1"/>
    <x v="19"/>
    <n v="9.68"/>
    <x v="285"/>
  </r>
  <r>
    <s v="S0287"/>
    <x v="286"/>
    <s v="Oct"/>
    <x v="17"/>
    <x v="2"/>
    <x v="1"/>
    <x v="111"/>
    <n v="15.89"/>
    <x v="286"/>
  </r>
  <r>
    <s v="S0288"/>
    <x v="287"/>
    <s v="Oct"/>
    <x v="9"/>
    <x v="7"/>
    <x v="1"/>
    <x v="48"/>
    <n v="6.11"/>
    <x v="287"/>
  </r>
  <r>
    <s v="S0289"/>
    <x v="288"/>
    <s v="Oct"/>
    <x v="3"/>
    <x v="3"/>
    <x v="1"/>
    <x v="106"/>
    <n v="4.84"/>
    <x v="288"/>
  </r>
  <r>
    <s v="S0290"/>
    <x v="289"/>
    <s v="Oct"/>
    <x v="7"/>
    <x v="0"/>
    <x v="1"/>
    <x v="61"/>
    <n v="9.1"/>
    <x v="289"/>
  </r>
  <r>
    <s v="S0291"/>
    <x v="290"/>
    <s v="Oct"/>
    <x v="13"/>
    <x v="6"/>
    <x v="1"/>
    <x v="116"/>
    <n v="10.4"/>
    <x v="290"/>
  </r>
  <r>
    <s v="S0292"/>
    <x v="291"/>
    <s v="Oct"/>
    <x v="10"/>
    <x v="3"/>
    <x v="1"/>
    <x v="41"/>
    <n v="6.95"/>
    <x v="291"/>
  </r>
  <r>
    <s v="S0293"/>
    <x v="292"/>
    <s v="Oct"/>
    <x v="2"/>
    <x v="2"/>
    <x v="0"/>
    <x v="77"/>
    <n v="25.78"/>
    <x v="292"/>
  </r>
  <r>
    <s v="S0294"/>
    <x v="293"/>
    <s v="Oct"/>
    <x v="15"/>
    <x v="7"/>
    <x v="0"/>
    <x v="91"/>
    <n v="13.26"/>
    <x v="293"/>
  </r>
  <r>
    <s v="S0295"/>
    <x v="294"/>
    <s v="Oct"/>
    <x v="10"/>
    <x v="3"/>
    <x v="1"/>
    <x v="58"/>
    <n v="7.22"/>
    <x v="294"/>
  </r>
  <r>
    <s v="S0296"/>
    <x v="295"/>
    <s v="Oct"/>
    <x v="1"/>
    <x v="1"/>
    <x v="0"/>
    <x v="87"/>
    <n v="14.43"/>
    <x v="295"/>
  </r>
  <r>
    <s v="S0297"/>
    <x v="296"/>
    <s v="Oct"/>
    <x v="0"/>
    <x v="0"/>
    <x v="0"/>
    <x v="15"/>
    <n v="17.489999999999998"/>
    <x v="296"/>
  </r>
  <r>
    <s v="S0298"/>
    <x v="297"/>
    <s v="Nov"/>
    <x v="3"/>
    <x v="3"/>
    <x v="1"/>
    <x v="66"/>
    <n v="4.96"/>
    <x v="297"/>
  </r>
  <r>
    <s v="S0299"/>
    <x v="298"/>
    <s v="Nov"/>
    <x v="18"/>
    <x v="5"/>
    <x v="0"/>
    <x v="117"/>
    <n v="13.98"/>
    <x v="298"/>
  </r>
  <r>
    <s v="S0300"/>
    <x v="299"/>
    <s v="Nov"/>
    <x v="1"/>
    <x v="1"/>
    <x v="0"/>
    <x v="92"/>
    <n v="15.05"/>
    <x v="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F85ED-F92B-48E7-821C-E66819F9254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E14:F35" firstHeaderRow="1" firstDataRow="1" firstDataCol="1"/>
  <pivotFields count="11">
    <pivotField showAll="0"/>
    <pivotField numFmtId="16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 sortType="descending">
      <items count="21">
        <item x="5"/>
        <item x="7"/>
        <item x="13"/>
        <item x="0"/>
        <item x="6"/>
        <item x="9"/>
        <item x="4"/>
        <item x="1"/>
        <item x="10"/>
        <item x="14"/>
        <item x="8"/>
        <item x="11"/>
        <item x="16"/>
        <item x="18"/>
        <item x="19"/>
        <item x="12"/>
        <item x="3"/>
        <item x="17"/>
        <item x="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1">
    <i>
      <x/>
    </i>
    <i>
      <x v="18"/>
    </i>
    <i>
      <x v="3"/>
    </i>
    <i>
      <x v="7"/>
    </i>
    <i>
      <x v="5"/>
    </i>
    <i>
      <x v="13"/>
    </i>
    <i>
      <x v="11"/>
    </i>
    <i>
      <x v="19"/>
    </i>
    <i>
      <x v="4"/>
    </i>
    <i>
      <x v="9"/>
    </i>
    <i>
      <x v="8"/>
    </i>
    <i>
      <x v="16"/>
    </i>
    <i>
      <x v="17"/>
    </i>
    <i>
      <x v="6"/>
    </i>
    <i>
      <x v="15"/>
    </i>
    <i>
      <x v="12"/>
    </i>
    <i>
      <x v="14"/>
    </i>
    <i>
      <x v="1"/>
    </i>
    <i>
      <x v="2"/>
    </i>
    <i>
      <x v="10"/>
    </i>
    <i t="grand">
      <x/>
    </i>
  </rowItems>
  <colItems count="1">
    <i/>
  </colItems>
  <dataFields count="1">
    <dataField name="Sum of Quantity_Sold" fld="6" baseField="0" baseItem="0"/>
  </dataFields>
  <formats count="1">
    <format dxfId="0">
      <pivotArea grandRow="1" outline="0" collapsedLevelsAreSubtotals="1" fieldPosition="0"/>
    </format>
  </formats>
  <chartFormats count="1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22FCE-A9C4-4933-8CE3-3A61C22776FA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K20:L30" firstHeaderRow="1" firstDataRow="1" firstDataCol="1"/>
  <pivotFields count="11">
    <pivotField showAll="0"/>
    <pivotField numFmtId="16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>
      <items count="21">
        <item x="5"/>
        <item x="7"/>
        <item x="13"/>
        <item x="0"/>
        <item x="6"/>
        <item x="9"/>
        <item x="4"/>
        <item x="1"/>
        <item x="10"/>
        <item x="14"/>
        <item x="8"/>
        <item x="11"/>
        <item x="16"/>
        <item x="18"/>
        <item x="19"/>
        <item x="12"/>
        <item x="3"/>
        <item x="17"/>
        <item x="2"/>
        <item x="15"/>
        <item t="default"/>
      </items>
    </pivotField>
    <pivotField axis="axisRow" showAll="0">
      <items count="10">
        <item x="3"/>
        <item x="0"/>
        <item x="1"/>
        <item x="7"/>
        <item x="5"/>
        <item x="8"/>
        <item x="2"/>
        <item x="6"/>
        <item x="4"/>
        <item t="default"/>
      </items>
    </pivotField>
    <pivotField showAll="0"/>
    <pivotField showAll="0"/>
    <pivotField numFmtId="2" showAll="0"/>
    <pivotField dataField="1"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8" baseField="0" baseItem="0" numFmtId="2"/>
  </dataFields>
  <formats count="1">
    <format dxfId="1">
      <pivotArea outline="0" collapsedLevelsAreSubtotals="1" fieldPosition="0"/>
    </format>
  </format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5BC56-8CC0-4968-817A-8A6A2D647F6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37:K40" firstHeaderRow="0" firstDataRow="1" firstDataCol="1"/>
  <pivotFields count="11">
    <pivotField showAll="0"/>
    <pivotField numFmtId="16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>
      <items count="21">
        <item x="5"/>
        <item x="7"/>
        <item x="13"/>
        <item x="0"/>
        <item x="6"/>
        <item x="9"/>
        <item x="4"/>
        <item x="1"/>
        <item x="10"/>
        <item x="14"/>
        <item x="8"/>
        <item x="11"/>
        <item x="16"/>
        <item x="18"/>
        <item x="19"/>
        <item x="12"/>
        <item x="3"/>
        <item x="17"/>
        <item x="2"/>
        <item x="15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>
      <items count="119">
        <item x="60"/>
        <item x="102"/>
        <item x="30"/>
        <item x="66"/>
        <item x="107"/>
        <item x="0"/>
        <item x="82"/>
        <item x="61"/>
        <item x="108"/>
        <item x="49"/>
        <item x="48"/>
        <item x="79"/>
        <item x="45"/>
        <item x="110"/>
        <item x="37"/>
        <item x="2"/>
        <item x="64"/>
        <item x="29"/>
        <item x="97"/>
        <item x="75"/>
        <item x="113"/>
        <item x="1"/>
        <item x="22"/>
        <item x="99"/>
        <item x="16"/>
        <item x="50"/>
        <item x="58"/>
        <item x="98"/>
        <item x="76"/>
        <item x="6"/>
        <item x="17"/>
        <item x="18"/>
        <item x="36"/>
        <item x="43"/>
        <item x="26"/>
        <item x="40"/>
        <item x="103"/>
        <item x="78"/>
        <item x="117"/>
        <item x="114"/>
        <item x="62"/>
        <item x="77"/>
        <item x="81"/>
        <item x="55"/>
        <item x="57"/>
        <item x="109"/>
        <item x="80"/>
        <item x="15"/>
        <item x="105"/>
        <item x="59"/>
        <item x="51"/>
        <item x="25"/>
        <item x="88"/>
        <item x="21"/>
        <item x="19"/>
        <item x="65"/>
        <item x="3"/>
        <item x="52"/>
        <item x="92"/>
        <item x="42"/>
        <item x="69"/>
        <item x="68"/>
        <item x="104"/>
        <item x="47"/>
        <item x="112"/>
        <item x="56"/>
        <item x="111"/>
        <item x="54"/>
        <item x="96"/>
        <item x="31"/>
        <item x="116"/>
        <item x="85"/>
        <item x="67"/>
        <item x="8"/>
        <item x="33"/>
        <item x="9"/>
        <item x="71"/>
        <item x="86"/>
        <item x="46"/>
        <item x="83"/>
        <item x="44"/>
        <item x="34"/>
        <item x="106"/>
        <item x="7"/>
        <item x="53"/>
        <item x="87"/>
        <item x="84"/>
        <item x="14"/>
        <item x="95"/>
        <item x="100"/>
        <item x="39"/>
        <item x="74"/>
        <item x="89"/>
        <item x="27"/>
        <item x="115"/>
        <item x="5"/>
        <item x="93"/>
        <item x="11"/>
        <item x="41"/>
        <item x="94"/>
        <item x="91"/>
        <item x="72"/>
        <item x="28"/>
        <item x="70"/>
        <item x="38"/>
        <item x="12"/>
        <item x="73"/>
        <item x="63"/>
        <item x="24"/>
        <item x="101"/>
        <item x="4"/>
        <item x="90"/>
        <item x="13"/>
        <item x="32"/>
        <item x="20"/>
        <item x="10"/>
        <item x="23"/>
        <item x="35"/>
        <item t="default"/>
      </items>
    </pivotField>
    <pivotField numFmtId="2" showAll="0"/>
    <pivotField dataField="1" numFmtId="2" showAll="0">
      <items count="301">
        <item x="297"/>
        <item x="99"/>
        <item x="249"/>
        <item x="102"/>
        <item x="37"/>
        <item x="87"/>
        <item x="220"/>
        <item x="3"/>
        <item x="125"/>
        <item x="239"/>
        <item x="68"/>
        <item x="243"/>
        <item x="287"/>
        <item x="111"/>
        <item x="245"/>
        <item x="269"/>
        <item x="94"/>
        <item x="89"/>
        <item x="121"/>
        <item x="26"/>
        <item x="64"/>
        <item x="236"/>
        <item x="202"/>
        <item x="45"/>
        <item x="253"/>
        <item x="235"/>
        <item x="77"/>
        <item x="289"/>
        <item x="134"/>
        <item x="224"/>
        <item x="141"/>
        <item x="213"/>
        <item x="259"/>
        <item x="204"/>
        <item x="294"/>
        <item x="268"/>
        <item x="206"/>
        <item x="65"/>
        <item x="56"/>
        <item x="219"/>
        <item x="145"/>
        <item x="119"/>
        <item x="175"/>
        <item x="200"/>
        <item x="54"/>
        <item x="36"/>
        <item x="118"/>
        <item x="98"/>
        <item x="92"/>
        <item x="226"/>
        <item x="161"/>
        <item x="75"/>
        <item x="218"/>
        <item x="271"/>
        <item x="122"/>
        <item x="254"/>
        <item x="214"/>
        <item x="265"/>
        <item x="183"/>
        <item x="168"/>
        <item x="227"/>
        <item x="97"/>
        <item x="205"/>
        <item x="215"/>
        <item x="143"/>
        <item x="136"/>
        <item x="251"/>
        <item x="288"/>
        <item x="85"/>
        <item x="222"/>
        <item x="284"/>
        <item x="42"/>
        <item x="83"/>
        <item x="228"/>
        <item x="225"/>
        <item x="53"/>
        <item x="101"/>
        <item x="199"/>
        <item x="8"/>
        <item x="32"/>
        <item x="201"/>
        <item x="160"/>
        <item x="4"/>
        <item x="11"/>
        <item x="164"/>
        <item x="127"/>
        <item x="38"/>
        <item x="0"/>
        <item x="34"/>
        <item x="80"/>
        <item x="88"/>
        <item x="263"/>
        <item x="115"/>
        <item x="255"/>
        <item x="151"/>
        <item x="232"/>
        <item x="216"/>
        <item x="62"/>
        <item x="194"/>
        <item x="182"/>
        <item x="67"/>
        <item x="196"/>
        <item x="276"/>
        <item x="55"/>
        <item x="12"/>
        <item x="256"/>
        <item x="48"/>
        <item x="17"/>
        <item x="163"/>
        <item x="154"/>
        <item x="209"/>
        <item x="29"/>
        <item x="258"/>
        <item x="105"/>
        <item x="174"/>
        <item x="146"/>
        <item x="117"/>
        <item x="9"/>
        <item x="1"/>
        <item x="22"/>
        <item x="103"/>
        <item x="177"/>
        <item x="234"/>
        <item x="57"/>
        <item x="20"/>
        <item x="104"/>
        <item x="69"/>
        <item x="123"/>
        <item x="159"/>
        <item x="231"/>
        <item x="155"/>
        <item x="176"/>
        <item x="19"/>
        <item x="285"/>
        <item x="157"/>
        <item x="23"/>
        <item x="44"/>
        <item x="71"/>
        <item x="132"/>
        <item x="113"/>
        <item x="281"/>
        <item x="279"/>
        <item x="96"/>
        <item x="291"/>
        <item x="66"/>
        <item x="6"/>
        <item x="241"/>
        <item x="203"/>
        <item x="192"/>
        <item x="260"/>
        <item x="252"/>
        <item x="178"/>
        <item x="250"/>
        <item x="158"/>
        <item x="246"/>
        <item x="230"/>
        <item x="46"/>
        <item x="193"/>
        <item x="172"/>
        <item x="298"/>
        <item x="14"/>
        <item x="72"/>
        <item x="156"/>
        <item x="58"/>
        <item x="247"/>
        <item x="100"/>
        <item x="240"/>
        <item x="135"/>
        <item x="79"/>
        <item x="50"/>
        <item x="144"/>
        <item x="290"/>
        <item x="76"/>
        <item x="90"/>
        <item x="181"/>
        <item x="2"/>
        <item x="95"/>
        <item x="81"/>
        <item x="128"/>
        <item x="264"/>
        <item x="208"/>
        <item x="173"/>
        <item x="47"/>
        <item x="84"/>
        <item x="188"/>
        <item x="274"/>
        <item x="273"/>
        <item x="187"/>
        <item x="86"/>
        <item x="33"/>
        <item x="189"/>
        <item x="63"/>
        <item x="52"/>
        <item x="262"/>
        <item x="283"/>
        <item x="25"/>
        <item x="223"/>
        <item x="70"/>
        <item x="139"/>
        <item x="242"/>
        <item x="169"/>
        <item x="138"/>
        <item x="267"/>
        <item x="41"/>
        <item x="272"/>
        <item x="233"/>
        <item x="73"/>
        <item x="109"/>
        <item x="184"/>
        <item x="299"/>
        <item x="148"/>
        <item x="131"/>
        <item x="114"/>
        <item x="7"/>
        <item x="296"/>
        <item x="237"/>
        <item x="124"/>
        <item x="24"/>
        <item x="49"/>
        <item x="110"/>
        <item x="180"/>
        <item x="153"/>
        <item x="82"/>
        <item x="142"/>
        <item x="210"/>
        <item x="21"/>
        <item x="238"/>
        <item x="107"/>
        <item x="170"/>
        <item x="286"/>
        <item x="149"/>
        <item x="217"/>
        <item x="257"/>
        <item x="31"/>
        <item x="275"/>
        <item x="212"/>
        <item x="106"/>
        <item x="171"/>
        <item x="278"/>
        <item x="130"/>
        <item x="179"/>
        <item x="221"/>
        <item x="195"/>
        <item x="295"/>
        <item x="116"/>
        <item x="150"/>
        <item x="120"/>
        <item x="30"/>
        <item x="293"/>
        <item x="133"/>
        <item x="140"/>
        <item x="280"/>
        <item x="40"/>
        <item x="165"/>
        <item x="197"/>
        <item x="186"/>
        <item x="277"/>
        <item x="59"/>
        <item x="137"/>
        <item x="292"/>
        <item x="162"/>
        <item x="270"/>
        <item x="18"/>
        <item x="261"/>
        <item x="93"/>
        <item x="15"/>
        <item x="282"/>
        <item x="266"/>
        <item x="5"/>
        <item x="244"/>
        <item x="211"/>
        <item x="16"/>
        <item x="60"/>
        <item x="61"/>
        <item x="191"/>
        <item x="190"/>
        <item x="166"/>
        <item x="78"/>
        <item x="147"/>
        <item x="129"/>
        <item x="51"/>
        <item x="167"/>
        <item x="27"/>
        <item x="185"/>
        <item x="248"/>
        <item x="126"/>
        <item x="91"/>
        <item x="13"/>
        <item x="207"/>
        <item x="39"/>
        <item x="112"/>
        <item x="10"/>
        <item x="43"/>
        <item x="229"/>
        <item x="74"/>
        <item x="35"/>
        <item x="198"/>
        <item x="152"/>
        <item x="108"/>
        <item x="2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6" baseField="0" baseItem="0"/>
    <dataField name="Sum of Total_Sales" fld="8" baseField="0" baseItem="0" numFmtId="166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2DE7D-A0C5-42C8-A09A-1F9BFE53751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:K15" firstHeaderRow="1" firstDataRow="1" firstDataCol="1"/>
  <pivotFields count="11">
    <pivotField showAll="0"/>
    <pivotField numFmtId="16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 sortType="descending">
      <items count="21">
        <item x="5"/>
        <item x="7"/>
        <item x="13"/>
        <item x="0"/>
        <item x="6"/>
        <item x="9"/>
        <item x="4"/>
        <item x="1"/>
        <item x="10"/>
        <item x="14"/>
        <item x="8"/>
        <item x="11"/>
        <item x="16"/>
        <item x="18"/>
        <item x="19"/>
        <item x="12"/>
        <item x="3"/>
        <item x="17"/>
        <item x="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dataField="1"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2">
    <i>
      <x v="2"/>
    </i>
    <i>
      <x v="6"/>
    </i>
    <i>
      <x v="7"/>
    </i>
    <i>
      <x v="10"/>
    </i>
    <i>
      <x v="5"/>
    </i>
    <i>
      <x v="3"/>
    </i>
    <i>
      <x v="4"/>
    </i>
    <i>
      <x v="8"/>
    </i>
    <i>
      <x v="1"/>
    </i>
    <i>
      <x v="9"/>
    </i>
    <i>
      <x v="11"/>
    </i>
    <i t="grand">
      <x/>
    </i>
  </rowItems>
  <colItems count="1">
    <i/>
  </colItems>
  <dataFields count="1">
    <dataField name="Sum of Total_Sales" fld="8" baseField="0" baseItem="0" numFmtId="166"/>
  </dataFields>
  <formats count="2">
    <format dxfId="4">
      <pivotArea grandRow="1" outline="0" collapsedLevelsAreSubtotals="1" fieldPosition="0"/>
    </format>
    <format dxfId="3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5390A-BA53-4023-9914-125FB292B6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14:I35" firstHeaderRow="1" firstDataRow="1" firstDataCol="1"/>
  <pivotFields count="11">
    <pivotField showAll="0"/>
    <pivotField numFmtId="16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 sortType="descending">
      <items count="21">
        <item x="5"/>
        <item x="7"/>
        <item x="13"/>
        <item x="0"/>
        <item x="6"/>
        <item x="9"/>
        <item x="4"/>
        <item x="1"/>
        <item x="10"/>
        <item x="14"/>
        <item x="8"/>
        <item x="11"/>
        <item x="16"/>
        <item x="18"/>
        <item x="19"/>
        <item x="12"/>
        <item x="3"/>
        <item x="17"/>
        <item x="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1">
    <i>
      <x v="18"/>
    </i>
    <i>
      <x v="3"/>
    </i>
    <i>
      <x v="7"/>
    </i>
    <i>
      <x v="13"/>
    </i>
    <i>
      <x v="12"/>
    </i>
    <i>
      <x v="6"/>
    </i>
    <i>
      <x v="19"/>
    </i>
    <i>
      <x v="17"/>
    </i>
    <i>
      <x v="4"/>
    </i>
    <i>
      <x/>
    </i>
    <i>
      <x v="15"/>
    </i>
    <i>
      <x v="9"/>
    </i>
    <i>
      <x v="11"/>
    </i>
    <i>
      <x v="10"/>
    </i>
    <i>
      <x v="5"/>
    </i>
    <i>
      <x v="2"/>
    </i>
    <i>
      <x v="8"/>
    </i>
    <i>
      <x v="1"/>
    </i>
    <i>
      <x v="14"/>
    </i>
    <i>
      <x v="16"/>
    </i>
    <i t="grand">
      <x/>
    </i>
  </rowItems>
  <colItems count="1">
    <i/>
  </colItems>
  <dataFields count="1">
    <dataField name="Sum of Total_Sales" fld="8" baseField="0" baseItem="0" numFmtId="166"/>
  </dataFields>
  <formats count="7">
    <format dxfId="11">
      <pivotArea collapsedLevelsAreSubtotals="1" fieldPosition="0">
        <references count="1">
          <reference field="3" count="1">
            <x v="5"/>
          </reference>
        </references>
      </pivotArea>
    </format>
    <format dxfId="10">
      <pivotArea dataOnly="0" outline="0" axis="axisValues" fieldPosition="0"/>
    </format>
    <format dxfId="9">
      <pivotArea collapsedLevelsAreSubtotals="1" fieldPosition="0">
        <references count="1">
          <reference field="3" count="1">
            <x v="18"/>
          </reference>
        </references>
      </pivotArea>
    </format>
    <format dxfId="8">
      <pivotArea grandRow="1" outline="0" collapsedLevelsAreSubtotals="1" fieldPosition="0"/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3" count="1">
            <x v="7"/>
          </reference>
        </references>
      </pivotArea>
    </format>
    <format dxfId="5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"/>
  <sheetViews>
    <sheetView workbookViewId="0">
      <pane ySplit="1" topLeftCell="A55" activePane="bottomLeft" state="frozen"/>
      <selection pane="bottomLeft" activeCell="D288" sqref="D288"/>
    </sheetView>
  </sheetViews>
  <sheetFormatPr defaultRowHeight="14.4" x14ac:dyDescent="0.3"/>
  <cols>
    <col min="1" max="1" width="12" customWidth="1"/>
    <col min="2" max="6" width="22" customWidth="1"/>
    <col min="7" max="9" width="16" customWidth="1"/>
  </cols>
  <sheetData>
    <row r="1" spans="1:9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s="2">
        <v>46030</v>
      </c>
      <c r="C2" s="2" t="str">
        <f>TEXT(B2,"mmm")</f>
        <v>Jan</v>
      </c>
      <c r="D2" t="s">
        <v>9</v>
      </c>
      <c r="E2" t="s">
        <v>10</v>
      </c>
      <c r="F2" t="s">
        <v>11</v>
      </c>
      <c r="G2">
        <v>37</v>
      </c>
      <c r="H2" s="3">
        <v>18.84</v>
      </c>
      <c r="I2" s="3">
        <v>697.08</v>
      </c>
    </row>
    <row r="3" spans="1:9" x14ac:dyDescent="0.3">
      <c r="A3" t="s">
        <v>12</v>
      </c>
      <c r="B3" s="2">
        <v>46031</v>
      </c>
      <c r="C3" s="2" t="str">
        <f t="shared" ref="C3:C66" si="0">TEXT(B3,"mmm")</f>
        <v>Jan</v>
      </c>
      <c r="D3" t="s">
        <v>13</v>
      </c>
      <c r="E3" t="s">
        <v>14</v>
      </c>
      <c r="F3" t="s">
        <v>11</v>
      </c>
      <c r="G3">
        <v>54</v>
      </c>
      <c r="H3" s="3">
        <v>15.69</v>
      </c>
      <c r="I3" s="3">
        <v>847.26</v>
      </c>
    </row>
    <row r="4" spans="1:9" x14ac:dyDescent="0.3">
      <c r="A4" t="s">
        <v>15</v>
      </c>
      <c r="B4" s="2">
        <v>46032</v>
      </c>
      <c r="C4" s="2" t="str">
        <f t="shared" si="0"/>
        <v>Jan</v>
      </c>
      <c r="D4" t="s">
        <v>16</v>
      </c>
      <c r="E4" t="s">
        <v>17</v>
      </c>
      <c r="F4" t="s">
        <v>11</v>
      </c>
      <c r="G4">
        <v>47</v>
      </c>
      <c r="H4" s="3">
        <v>24.64</v>
      </c>
      <c r="I4" s="3">
        <v>1158.08</v>
      </c>
    </row>
    <row r="5" spans="1:9" x14ac:dyDescent="0.3">
      <c r="A5" t="s">
        <v>18</v>
      </c>
      <c r="B5" s="2">
        <v>46033</v>
      </c>
      <c r="C5" s="2" t="str">
        <f t="shared" si="0"/>
        <v>Jan</v>
      </c>
      <c r="D5" t="s">
        <v>19</v>
      </c>
      <c r="E5" t="s">
        <v>20</v>
      </c>
      <c r="F5" t="s">
        <v>21</v>
      </c>
      <c r="G5">
        <v>47</v>
      </c>
      <c r="H5" s="3">
        <v>4.8899999999999997</v>
      </c>
      <c r="I5" s="3">
        <v>229.83</v>
      </c>
    </row>
    <row r="6" spans="1:9" x14ac:dyDescent="0.3">
      <c r="A6" t="s">
        <v>22</v>
      </c>
      <c r="B6" s="2">
        <v>46034</v>
      </c>
      <c r="C6" s="2" t="str">
        <f t="shared" si="0"/>
        <v>Jan</v>
      </c>
      <c r="D6" t="s">
        <v>23</v>
      </c>
      <c r="E6" t="s">
        <v>24</v>
      </c>
      <c r="F6" t="s">
        <v>11</v>
      </c>
      <c r="G6">
        <v>37</v>
      </c>
      <c r="H6" s="3">
        <v>17.39</v>
      </c>
      <c r="I6" s="3">
        <v>643.42999999999995</v>
      </c>
    </row>
    <row r="7" spans="1:9" x14ac:dyDescent="0.3">
      <c r="A7" t="s">
        <v>25</v>
      </c>
      <c r="B7" s="2">
        <v>46035</v>
      </c>
      <c r="C7" s="2" t="str">
        <f t="shared" si="0"/>
        <v>Jan</v>
      </c>
      <c r="D7" t="s">
        <v>16</v>
      </c>
      <c r="E7" t="s">
        <v>17</v>
      </c>
      <c r="F7" t="s">
        <v>11</v>
      </c>
      <c r="G7">
        <v>95</v>
      </c>
      <c r="H7" s="3">
        <v>23.49</v>
      </c>
      <c r="I7" s="3">
        <v>2231.5500000000002</v>
      </c>
    </row>
    <row r="8" spans="1:9" x14ac:dyDescent="0.3">
      <c r="A8" t="s">
        <v>26</v>
      </c>
      <c r="B8" s="2">
        <v>46036</v>
      </c>
      <c r="C8" s="2" t="str">
        <f t="shared" si="0"/>
        <v>Jan</v>
      </c>
      <c r="D8" t="s">
        <v>27</v>
      </c>
      <c r="E8" t="s">
        <v>28</v>
      </c>
      <c r="F8" t="s">
        <v>21</v>
      </c>
      <c r="G8">
        <v>152</v>
      </c>
      <c r="H8" s="3">
        <v>6.38</v>
      </c>
      <c r="I8" s="3">
        <v>969.76</v>
      </c>
    </row>
    <row r="9" spans="1:9" x14ac:dyDescent="0.3">
      <c r="A9" t="s">
        <v>29</v>
      </c>
      <c r="B9" s="2">
        <v>46037</v>
      </c>
      <c r="C9" s="2" t="str">
        <f t="shared" si="0"/>
        <v>Jan</v>
      </c>
      <c r="D9" t="s">
        <v>30</v>
      </c>
      <c r="E9" t="s">
        <v>10</v>
      </c>
      <c r="F9" t="s">
        <v>21</v>
      </c>
      <c r="G9">
        <v>136</v>
      </c>
      <c r="H9" s="3">
        <v>11.05</v>
      </c>
      <c r="I9" s="3">
        <v>1502.8</v>
      </c>
    </row>
    <row r="10" spans="1:9" x14ac:dyDescent="0.3">
      <c r="A10" t="s">
        <v>31</v>
      </c>
      <c r="B10" s="2">
        <v>46038</v>
      </c>
      <c r="C10" s="2" t="str">
        <f t="shared" si="0"/>
        <v>Jan</v>
      </c>
      <c r="D10" t="s">
        <v>32</v>
      </c>
      <c r="E10" t="s">
        <v>10</v>
      </c>
      <c r="F10" t="s">
        <v>21</v>
      </c>
      <c r="G10">
        <v>65</v>
      </c>
      <c r="H10" s="3">
        <v>9.67</v>
      </c>
      <c r="I10" s="3">
        <v>628.54999999999995</v>
      </c>
    </row>
    <row r="11" spans="1:9" x14ac:dyDescent="0.3">
      <c r="A11" t="s">
        <v>33</v>
      </c>
      <c r="B11" s="2">
        <v>46039</v>
      </c>
      <c r="C11" s="2" t="str">
        <f t="shared" si="0"/>
        <v>Jan</v>
      </c>
      <c r="D11" t="s">
        <v>9</v>
      </c>
      <c r="E11" t="s">
        <v>10</v>
      </c>
      <c r="F11" t="s">
        <v>11</v>
      </c>
      <c r="G11">
        <v>47</v>
      </c>
      <c r="H11" s="3">
        <v>17.989999999999998</v>
      </c>
      <c r="I11" s="3">
        <v>845.53</v>
      </c>
    </row>
    <row r="12" spans="1:9" x14ac:dyDescent="0.3">
      <c r="A12" t="s">
        <v>34</v>
      </c>
      <c r="B12" s="2">
        <v>46040</v>
      </c>
      <c r="C12" s="2" t="str">
        <f t="shared" si="0"/>
        <v>Jan</v>
      </c>
      <c r="D12" t="s">
        <v>35</v>
      </c>
      <c r="E12" t="s">
        <v>36</v>
      </c>
      <c r="F12" t="s">
        <v>11</v>
      </c>
      <c r="G12">
        <v>123</v>
      </c>
      <c r="H12" s="3">
        <v>24.61</v>
      </c>
      <c r="I12" s="3">
        <v>3027.03</v>
      </c>
    </row>
    <row r="13" spans="1:9" x14ac:dyDescent="0.3">
      <c r="A13" t="s">
        <v>37</v>
      </c>
      <c r="B13" s="2">
        <v>46041</v>
      </c>
      <c r="C13" s="2" t="str">
        <f t="shared" si="0"/>
        <v>Jan</v>
      </c>
      <c r="D13" t="s">
        <v>38</v>
      </c>
      <c r="E13" t="s">
        <v>39</v>
      </c>
      <c r="F13" t="s">
        <v>21</v>
      </c>
      <c r="G13">
        <v>112</v>
      </c>
      <c r="H13" s="3">
        <v>5.8</v>
      </c>
      <c r="I13" s="3">
        <v>649.6</v>
      </c>
    </row>
    <row r="14" spans="1:9" x14ac:dyDescent="0.3">
      <c r="A14" t="s">
        <v>40</v>
      </c>
      <c r="B14" s="2">
        <v>46042</v>
      </c>
      <c r="C14" s="2" t="str">
        <f t="shared" si="0"/>
        <v>Jan</v>
      </c>
      <c r="D14" t="s">
        <v>41</v>
      </c>
      <c r="E14" t="s">
        <v>20</v>
      </c>
      <c r="F14" t="s">
        <v>21</v>
      </c>
      <c r="G14">
        <v>114</v>
      </c>
      <c r="H14" s="3">
        <v>6.92</v>
      </c>
      <c r="I14" s="3">
        <v>788.88</v>
      </c>
    </row>
    <row r="15" spans="1:9" x14ac:dyDescent="0.3">
      <c r="A15" t="s">
        <v>42</v>
      </c>
      <c r="B15" s="2">
        <v>46043</v>
      </c>
      <c r="C15" s="2" t="str">
        <f t="shared" si="0"/>
        <v>Jan</v>
      </c>
      <c r="D15" t="s">
        <v>23</v>
      </c>
      <c r="E15" t="s">
        <v>24</v>
      </c>
      <c r="F15" t="s">
        <v>11</v>
      </c>
      <c r="G15">
        <v>164</v>
      </c>
      <c r="H15" s="3">
        <v>18.05</v>
      </c>
      <c r="I15" s="3">
        <v>2960.2</v>
      </c>
    </row>
    <row r="16" spans="1:9" x14ac:dyDescent="0.3">
      <c r="A16" t="s">
        <v>43</v>
      </c>
      <c r="B16" s="2">
        <v>46044</v>
      </c>
      <c r="C16" s="2" t="str">
        <f t="shared" si="0"/>
        <v>Jan</v>
      </c>
      <c r="D16" t="s">
        <v>44</v>
      </c>
      <c r="E16" t="s">
        <v>14</v>
      </c>
      <c r="F16" t="s">
        <v>21</v>
      </c>
      <c r="G16">
        <v>138</v>
      </c>
      <c r="H16" s="3">
        <v>7.67</v>
      </c>
      <c r="I16" s="3">
        <v>1058.46</v>
      </c>
    </row>
    <row r="17" spans="1:9" x14ac:dyDescent="0.3">
      <c r="A17" t="s">
        <v>45</v>
      </c>
      <c r="B17" s="2">
        <v>46045</v>
      </c>
      <c r="C17" s="2" t="str">
        <f t="shared" si="0"/>
        <v>Jan</v>
      </c>
      <c r="D17" t="s">
        <v>13</v>
      </c>
      <c r="E17" t="s">
        <v>14</v>
      </c>
      <c r="F17" t="s">
        <v>11</v>
      </c>
      <c r="G17">
        <v>147</v>
      </c>
      <c r="H17" s="3">
        <v>14.81</v>
      </c>
      <c r="I17" s="3">
        <v>2177.0700000000002</v>
      </c>
    </row>
    <row r="18" spans="1:9" x14ac:dyDescent="0.3">
      <c r="A18" t="s">
        <v>46</v>
      </c>
      <c r="B18" s="2">
        <v>46046</v>
      </c>
      <c r="C18" s="2" t="str">
        <f t="shared" si="0"/>
        <v>Jan</v>
      </c>
      <c r="D18" t="s">
        <v>13</v>
      </c>
      <c r="E18" t="s">
        <v>14</v>
      </c>
      <c r="F18" t="s">
        <v>11</v>
      </c>
      <c r="G18">
        <v>161</v>
      </c>
      <c r="H18" s="3">
        <v>14.45</v>
      </c>
      <c r="I18" s="3">
        <v>2326.4499999999998</v>
      </c>
    </row>
    <row r="19" spans="1:9" x14ac:dyDescent="0.3">
      <c r="A19" t="s">
        <v>47</v>
      </c>
      <c r="B19" s="2">
        <v>46047</v>
      </c>
      <c r="C19" s="2" t="str">
        <f t="shared" si="0"/>
        <v>Jan</v>
      </c>
      <c r="D19" t="s">
        <v>38</v>
      </c>
      <c r="E19" t="s">
        <v>39</v>
      </c>
      <c r="F19" t="s">
        <v>21</v>
      </c>
      <c r="G19">
        <v>127</v>
      </c>
      <c r="H19" s="3">
        <v>6.35</v>
      </c>
      <c r="I19" s="3">
        <v>806.45</v>
      </c>
    </row>
    <row r="20" spans="1:9" x14ac:dyDescent="0.3">
      <c r="A20" t="s">
        <v>48</v>
      </c>
      <c r="B20" s="2">
        <v>46048</v>
      </c>
      <c r="C20" s="2" t="str">
        <f t="shared" si="0"/>
        <v>Jan</v>
      </c>
      <c r="D20" t="s">
        <v>35</v>
      </c>
      <c r="E20" t="s">
        <v>36</v>
      </c>
      <c r="F20" t="s">
        <v>11</v>
      </c>
      <c r="G20">
        <v>86</v>
      </c>
      <c r="H20" s="3">
        <v>24.43</v>
      </c>
      <c r="I20" s="3">
        <v>2100.98</v>
      </c>
    </row>
    <row r="21" spans="1:9" x14ac:dyDescent="0.3">
      <c r="A21" t="s">
        <v>49</v>
      </c>
      <c r="B21" s="2">
        <v>46049</v>
      </c>
      <c r="C21" s="2" t="str">
        <f t="shared" si="0"/>
        <v>Jan</v>
      </c>
      <c r="D21" t="s">
        <v>41</v>
      </c>
      <c r="E21" t="s">
        <v>20</v>
      </c>
      <c r="F21" t="s">
        <v>21</v>
      </c>
      <c r="G21">
        <v>123</v>
      </c>
      <c r="H21" s="3">
        <v>7.23</v>
      </c>
      <c r="I21" s="3">
        <v>889.29</v>
      </c>
    </row>
    <row r="22" spans="1:9" x14ac:dyDescent="0.3">
      <c r="A22" t="s">
        <v>50</v>
      </c>
      <c r="B22" s="2">
        <v>46050</v>
      </c>
      <c r="C22" s="2" t="str">
        <f t="shared" si="0"/>
        <v>Jan</v>
      </c>
      <c r="D22" t="s">
        <v>13</v>
      </c>
      <c r="E22" t="s">
        <v>14</v>
      </c>
      <c r="F22" t="s">
        <v>11</v>
      </c>
      <c r="G22">
        <v>57</v>
      </c>
      <c r="H22" s="3">
        <v>15.15</v>
      </c>
      <c r="I22" s="3">
        <v>863.55</v>
      </c>
    </row>
    <row r="23" spans="1:9" x14ac:dyDescent="0.3">
      <c r="A23" t="s">
        <v>51</v>
      </c>
      <c r="B23" s="2">
        <v>46051</v>
      </c>
      <c r="C23" s="2" t="str">
        <f t="shared" si="0"/>
        <v>Jan</v>
      </c>
      <c r="D23" t="s">
        <v>16</v>
      </c>
      <c r="E23" t="s">
        <v>17</v>
      </c>
      <c r="F23" t="s">
        <v>11</v>
      </c>
      <c r="G23">
        <v>66</v>
      </c>
      <c r="H23" s="3">
        <v>24.94</v>
      </c>
      <c r="I23" s="3">
        <v>1646.04</v>
      </c>
    </row>
    <row r="24" spans="1:9" x14ac:dyDescent="0.3">
      <c r="A24" t="s">
        <v>52</v>
      </c>
      <c r="B24" s="2">
        <v>46052</v>
      </c>
      <c r="C24" s="2" t="str">
        <f t="shared" si="0"/>
        <v>Jan</v>
      </c>
      <c r="D24" t="s">
        <v>53</v>
      </c>
      <c r="E24" t="s">
        <v>20</v>
      </c>
      <c r="F24" t="s">
        <v>11</v>
      </c>
      <c r="G24">
        <v>67</v>
      </c>
      <c r="H24" s="3">
        <v>12.68</v>
      </c>
      <c r="I24" s="3">
        <v>849.56</v>
      </c>
    </row>
    <row r="25" spans="1:9" x14ac:dyDescent="0.3">
      <c r="A25" t="s">
        <v>54</v>
      </c>
      <c r="B25" s="2">
        <v>46053</v>
      </c>
      <c r="C25" s="2" t="str">
        <f t="shared" si="0"/>
        <v>Jan</v>
      </c>
      <c r="D25" t="s">
        <v>55</v>
      </c>
      <c r="E25" t="s">
        <v>36</v>
      </c>
      <c r="F25" t="s">
        <v>21</v>
      </c>
      <c r="G25">
        <v>93</v>
      </c>
      <c r="H25" s="3">
        <v>9.85</v>
      </c>
      <c r="I25" s="3">
        <v>916.05</v>
      </c>
    </row>
    <row r="26" spans="1:9" x14ac:dyDescent="0.3">
      <c r="A26" t="s">
        <v>56</v>
      </c>
      <c r="B26" s="2">
        <v>46054</v>
      </c>
      <c r="C26" s="2" t="str">
        <f t="shared" si="0"/>
        <v>Feb</v>
      </c>
      <c r="D26" t="s">
        <v>57</v>
      </c>
      <c r="E26" t="s">
        <v>24</v>
      </c>
      <c r="F26" t="s">
        <v>21</v>
      </c>
      <c r="G26">
        <v>163</v>
      </c>
      <c r="H26" s="3">
        <v>9.39</v>
      </c>
      <c r="I26" s="3">
        <v>1530.57</v>
      </c>
    </row>
    <row r="27" spans="1:9" x14ac:dyDescent="0.3">
      <c r="A27" t="s">
        <v>58</v>
      </c>
      <c r="B27" s="2">
        <v>46055</v>
      </c>
      <c r="C27" s="2" t="str">
        <f t="shared" si="0"/>
        <v>Feb</v>
      </c>
      <c r="D27" t="s">
        <v>59</v>
      </c>
      <c r="E27" t="s">
        <v>39</v>
      </c>
      <c r="F27" t="s">
        <v>11</v>
      </c>
      <c r="G27">
        <v>92</v>
      </c>
      <c r="H27" s="3">
        <v>13.85</v>
      </c>
      <c r="I27" s="3">
        <v>1274.2</v>
      </c>
    </row>
    <row r="28" spans="1:9" x14ac:dyDescent="0.3">
      <c r="A28" t="s">
        <v>60</v>
      </c>
      <c r="B28" s="2">
        <v>46056</v>
      </c>
      <c r="C28" s="2" t="str">
        <f t="shared" si="0"/>
        <v>Feb</v>
      </c>
      <c r="D28" t="s">
        <v>38</v>
      </c>
      <c r="E28" t="s">
        <v>39</v>
      </c>
      <c r="F28" t="s">
        <v>21</v>
      </c>
      <c r="G28">
        <v>55</v>
      </c>
      <c r="H28" s="3">
        <v>5.91</v>
      </c>
      <c r="I28" s="3">
        <v>325.05</v>
      </c>
    </row>
    <row r="29" spans="1:9" x14ac:dyDescent="0.3">
      <c r="A29" t="s">
        <v>61</v>
      </c>
      <c r="B29" s="2">
        <v>46057</v>
      </c>
      <c r="C29" s="2" t="str">
        <f t="shared" si="0"/>
        <v>Feb</v>
      </c>
      <c r="D29" t="s">
        <v>16</v>
      </c>
      <c r="E29" t="s">
        <v>17</v>
      </c>
      <c r="F29" t="s">
        <v>11</v>
      </c>
      <c r="G29">
        <v>112</v>
      </c>
      <c r="H29" s="3">
        <v>23.62</v>
      </c>
      <c r="I29" s="3">
        <v>2645.44</v>
      </c>
    </row>
    <row r="30" spans="1:9" x14ac:dyDescent="0.3">
      <c r="A30" t="s">
        <v>62</v>
      </c>
      <c r="B30" s="2">
        <v>46058</v>
      </c>
      <c r="C30" s="2" t="str">
        <f t="shared" si="0"/>
        <v>Feb</v>
      </c>
      <c r="D30" t="s">
        <v>63</v>
      </c>
      <c r="E30" t="s">
        <v>64</v>
      </c>
      <c r="F30" t="s">
        <v>11</v>
      </c>
      <c r="G30">
        <v>165</v>
      </c>
      <c r="H30" s="3">
        <v>22.57</v>
      </c>
      <c r="I30" s="3">
        <v>3724.05</v>
      </c>
    </row>
    <row r="31" spans="1:9" x14ac:dyDescent="0.3">
      <c r="A31" t="s">
        <v>65</v>
      </c>
      <c r="B31" s="2">
        <v>46059</v>
      </c>
      <c r="C31" s="2" t="str">
        <f t="shared" si="0"/>
        <v>Feb</v>
      </c>
      <c r="D31" t="s">
        <v>13</v>
      </c>
      <c r="E31" t="s">
        <v>14</v>
      </c>
      <c r="F31" t="s">
        <v>11</v>
      </c>
      <c r="G31">
        <v>54</v>
      </c>
      <c r="H31" s="3">
        <v>15.24</v>
      </c>
      <c r="I31" s="3">
        <v>822.96</v>
      </c>
    </row>
    <row r="32" spans="1:9" x14ac:dyDescent="0.3">
      <c r="A32" t="s">
        <v>66</v>
      </c>
      <c r="B32" s="2">
        <v>46060</v>
      </c>
      <c r="C32" s="2" t="str">
        <f t="shared" si="0"/>
        <v>Feb</v>
      </c>
      <c r="D32" t="s">
        <v>53</v>
      </c>
      <c r="E32" t="s">
        <v>20</v>
      </c>
      <c r="F32" t="s">
        <v>11</v>
      </c>
      <c r="G32">
        <v>161</v>
      </c>
      <c r="H32" s="3">
        <v>11.57</v>
      </c>
      <c r="I32" s="3">
        <v>1862.77</v>
      </c>
    </row>
    <row r="33" spans="1:9" x14ac:dyDescent="0.3">
      <c r="A33" t="s">
        <v>67</v>
      </c>
      <c r="B33" s="2">
        <v>46061</v>
      </c>
      <c r="C33" s="2" t="str">
        <f t="shared" si="0"/>
        <v>Feb</v>
      </c>
      <c r="D33" t="s">
        <v>30</v>
      </c>
      <c r="E33" t="s">
        <v>10</v>
      </c>
      <c r="F33" t="s">
        <v>21</v>
      </c>
      <c r="G33">
        <v>150</v>
      </c>
      <c r="H33" s="3">
        <v>11.42</v>
      </c>
      <c r="I33" s="3">
        <v>1713</v>
      </c>
    </row>
    <row r="34" spans="1:9" x14ac:dyDescent="0.3">
      <c r="A34" t="s">
        <v>68</v>
      </c>
      <c r="B34" s="2">
        <v>46062</v>
      </c>
      <c r="C34" s="2" t="str">
        <f t="shared" si="0"/>
        <v>Feb</v>
      </c>
      <c r="D34" t="s">
        <v>41</v>
      </c>
      <c r="E34" t="s">
        <v>20</v>
      </c>
      <c r="F34" t="s">
        <v>21</v>
      </c>
      <c r="G34">
        <v>90</v>
      </c>
      <c r="H34" s="3">
        <v>7</v>
      </c>
      <c r="I34" s="3">
        <v>630</v>
      </c>
    </row>
    <row r="35" spans="1:9" x14ac:dyDescent="0.3">
      <c r="A35" t="s">
        <v>69</v>
      </c>
      <c r="B35" s="2">
        <v>46063</v>
      </c>
      <c r="C35" s="2" t="str">
        <f t="shared" si="0"/>
        <v>Feb</v>
      </c>
      <c r="D35" t="s">
        <v>70</v>
      </c>
      <c r="E35" t="s">
        <v>17</v>
      </c>
      <c r="F35" t="s">
        <v>21</v>
      </c>
      <c r="G35">
        <v>71</v>
      </c>
      <c r="H35" s="3">
        <v>17.22</v>
      </c>
      <c r="I35" s="3">
        <v>1222.6199999999999</v>
      </c>
    </row>
    <row r="36" spans="1:9" x14ac:dyDescent="0.3">
      <c r="A36" t="s">
        <v>71</v>
      </c>
      <c r="B36" s="2">
        <v>46064</v>
      </c>
      <c r="C36" s="2" t="str">
        <f t="shared" si="0"/>
        <v>Feb</v>
      </c>
      <c r="D36" t="s">
        <v>19</v>
      </c>
      <c r="E36" t="s">
        <v>20</v>
      </c>
      <c r="F36" t="s">
        <v>21</v>
      </c>
      <c r="G36">
        <v>134</v>
      </c>
      <c r="H36" s="3">
        <v>5.22</v>
      </c>
      <c r="I36" s="3">
        <v>699.48</v>
      </c>
    </row>
    <row r="37" spans="1:9" x14ac:dyDescent="0.3">
      <c r="A37" t="s">
        <v>72</v>
      </c>
      <c r="B37" s="2">
        <v>46065</v>
      </c>
      <c r="C37" s="2" t="str">
        <f t="shared" si="0"/>
        <v>Feb</v>
      </c>
      <c r="D37" t="s">
        <v>16</v>
      </c>
      <c r="E37" t="s">
        <v>17</v>
      </c>
      <c r="F37" t="s">
        <v>11</v>
      </c>
      <c r="G37">
        <v>144</v>
      </c>
      <c r="H37" s="3">
        <v>23.63</v>
      </c>
      <c r="I37" s="3">
        <v>3402.72</v>
      </c>
    </row>
    <row r="38" spans="1:9" x14ac:dyDescent="0.3">
      <c r="A38" t="s">
        <v>73</v>
      </c>
      <c r="B38" s="2">
        <v>46066</v>
      </c>
      <c r="C38" s="2" t="str">
        <f t="shared" si="0"/>
        <v>Feb</v>
      </c>
      <c r="D38" t="s">
        <v>55</v>
      </c>
      <c r="E38" t="s">
        <v>36</v>
      </c>
      <c r="F38" t="s">
        <v>21</v>
      </c>
      <c r="G38">
        <v>50</v>
      </c>
      <c r="H38" s="3">
        <v>9.8800000000000008</v>
      </c>
      <c r="I38" s="3">
        <v>494</v>
      </c>
    </row>
    <row r="39" spans="1:9" x14ac:dyDescent="0.3">
      <c r="A39" t="s">
        <v>74</v>
      </c>
      <c r="B39" s="2">
        <v>46067</v>
      </c>
      <c r="C39" s="2" t="str">
        <f t="shared" si="0"/>
        <v>Feb</v>
      </c>
      <c r="D39" t="s">
        <v>38</v>
      </c>
      <c r="E39" t="s">
        <v>39</v>
      </c>
      <c r="F39" t="s">
        <v>21</v>
      </c>
      <c r="G39">
        <v>34</v>
      </c>
      <c r="H39" s="3">
        <v>6.44</v>
      </c>
      <c r="I39" s="3">
        <v>218.96</v>
      </c>
    </row>
    <row r="40" spans="1:9" x14ac:dyDescent="0.3">
      <c r="A40" t="s">
        <v>75</v>
      </c>
      <c r="B40" s="2">
        <v>46068</v>
      </c>
      <c r="C40" s="2" t="str">
        <f t="shared" si="0"/>
        <v>Feb</v>
      </c>
      <c r="D40" t="s">
        <v>27</v>
      </c>
      <c r="E40" t="s">
        <v>28</v>
      </c>
      <c r="F40" t="s">
        <v>21</v>
      </c>
      <c r="G40">
        <v>108</v>
      </c>
      <c r="H40" s="3">
        <v>6.29</v>
      </c>
      <c r="I40" s="3">
        <v>679.32</v>
      </c>
    </row>
    <row r="41" spans="1:9" x14ac:dyDescent="0.3">
      <c r="A41" t="s">
        <v>76</v>
      </c>
      <c r="B41" s="2">
        <v>46069</v>
      </c>
      <c r="C41" s="2" t="str">
        <f t="shared" si="0"/>
        <v>Feb</v>
      </c>
      <c r="D41" t="s">
        <v>9</v>
      </c>
      <c r="E41" t="s">
        <v>10</v>
      </c>
      <c r="F41" t="s">
        <v>11</v>
      </c>
      <c r="G41">
        <v>162</v>
      </c>
      <c r="H41" s="3">
        <v>18.559999999999999</v>
      </c>
      <c r="I41" s="3">
        <v>3006.72</v>
      </c>
    </row>
    <row r="42" spans="1:9" x14ac:dyDescent="0.3">
      <c r="A42" t="s">
        <v>77</v>
      </c>
      <c r="B42" s="2">
        <v>46070</v>
      </c>
      <c r="C42" s="2" t="str">
        <f t="shared" si="0"/>
        <v>Feb</v>
      </c>
      <c r="D42" t="s">
        <v>70</v>
      </c>
      <c r="E42" t="s">
        <v>17</v>
      </c>
      <c r="F42" t="s">
        <v>21</v>
      </c>
      <c r="G42">
        <v>123</v>
      </c>
      <c r="H42" s="3">
        <v>15.61</v>
      </c>
      <c r="I42" s="3">
        <v>1920.03</v>
      </c>
    </row>
    <row r="43" spans="1:9" x14ac:dyDescent="0.3">
      <c r="A43" t="s">
        <v>78</v>
      </c>
      <c r="B43" s="2">
        <v>46071</v>
      </c>
      <c r="C43" s="2" t="str">
        <f t="shared" si="0"/>
        <v>Feb</v>
      </c>
      <c r="D43" t="s">
        <v>30</v>
      </c>
      <c r="E43" t="s">
        <v>10</v>
      </c>
      <c r="F43" t="s">
        <v>21</v>
      </c>
      <c r="G43">
        <v>113</v>
      </c>
      <c r="H43" s="3">
        <v>11.81</v>
      </c>
      <c r="I43" s="3">
        <v>1334.53</v>
      </c>
    </row>
    <row r="44" spans="1:9" x14ac:dyDescent="0.3">
      <c r="A44" t="s">
        <v>79</v>
      </c>
      <c r="B44" s="2">
        <v>46072</v>
      </c>
      <c r="C44" s="2" t="str">
        <f t="shared" si="0"/>
        <v>Feb</v>
      </c>
      <c r="D44" t="s">
        <v>19</v>
      </c>
      <c r="E44" t="s">
        <v>20</v>
      </c>
      <c r="F44" t="s">
        <v>21</v>
      </c>
      <c r="G44">
        <v>121</v>
      </c>
      <c r="H44" s="3">
        <v>4.96</v>
      </c>
      <c r="I44" s="3">
        <v>600.16</v>
      </c>
    </row>
    <row r="45" spans="1:9" x14ac:dyDescent="0.3">
      <c r="A45" t="s">
        <v>80</v>
      </c>
      <c r="B45" s="2">
        <v>46073</v>
      </c>
      <c r="C45" s="2" t="str">
        <f t="shared" si="0"/>
        <v>Feb</v>
      </c>
      <c r="D45" t="s">
        <v>9</v>
      </c>
      <c r="E45" t="s">
        <v>10</v>
      </c>
      <c r="F45" t="s">
        <v>11</v>
      </c>
      <c r="G45">
        <v>170</v>
      </c>
      <c r="H45" s="3">
        <v>17.95</v>
      </c>
      <c r="I45" s="3">
        <v>3051.5</v>
      </c>
    </row>
    <row r="46" spans="1:9" x14ac:dyDescent="0.3">
      <c r="A46" t="s">
        <v>81</v>
      </c>
      <c r="B46" s="2">
        <v>46074</v>
      </c>
      <c r="C46" s="2" t="str">
        <f t="shared" si="0"/>
        <v>Feb</v>
      </c>
      <c r="D46" t="s">
        <v>82</v>
      </c>
      <c r="E46" t="s">
        <v>28</v>
      </c>
      <c r="F46" t="s">
        <v>11</v>
      </c>
      <c r="G46">
        <v>69</v>
      </c>
      <c r="H46" s="3">
        <v>13.41</v>
      </c>
      <c r="I46" s="3">
        <v>925.29</v>
      </c>
    </row>
    <row r="47" spans="1:9" x14ac:dyDescent="0.3">
      <c r="A47" t="s">
        <v>83</v>
      </c>
      <c r="B47" s="2">
        <v>46075</v>
      </c>
      <c r="C47" s="2" t="str">
        <f t="shared" si="0"/>
        <v>Feb</v>
      </c>
      <c r="D47" t="s">
        <v>41</v>
      </c>
      <c r="E47" t="s">
        <v>20</v>
      </c>
      <c r="F47" t="s">
        <v>21</v>
      </c>
      <c r="G47">
        <v>46</v>
      </c>
      <c r="H47" s="3">
        <v>7.32</v>
      </c>
      <c r="I47" s="3">
        <v>336.72</v>
      </c>
    </row>
    <row r="48" spans="1:9" x14ac:dyDescent="0.3">
      <c r="A48" t="s">
        <v>84</v>
      </c>
      <c r="B48" s="2">
        <v>46076</v>
      </c>
      <c r="C48" s="2" t="str">
        <f t="shared" si="0"/>
        <v>Feb</v>
      </c>
      <c r="D48" t="s">
        <v>41</v>
      </c>
      <c r="E48" t="s">
        <v>20</v>
      </c>
      <c r="F48" t="s">
        <v>21</v>
      </c>
      <c r="G48">
        <v>146</v>
      </c>
      <c r="H48" s="3">
        <v>7.13</v>
      </c>
      <c r="I48" s="3">
        <v>1040.98</v>
      </c>
    </row>
    <row r="49" spans="1:9" x14ac:dyDescent="0.3">
      <c r="A49" t="s">
        <v>85</v>
      </c>
      <c r="B49" s="2">
        <v>46077</v>
      </c>
      <c r="C49" s="2" t="str">
        <f t="shared" si="0"/>
        <v>Feb</v>
      </c>
      <c r="D49" t="s">
        <v>32</v>
      </c>
      <c r="E49" t="s">
        <v>10</v>
      </c>
      <c r="F49" t="s">
        <v>21</v>
      </c>
      <c r="G49">
        <v>131</v>
      </c>
      <c r="H49" s="3">
        <v>9.11</v>
      </c>
      <c r="I49" s="3">
        <v>1193.4100000000001</v>
      </c>
    </row>
    <row r="50" spans="1:9" x14ac:dyDescent="0.3">
      <c r="A50" t="s">
        <v>86</v>
      </c>
      <c r="B50" s="2">
        <v>46078</v>
      </c>
      <c r="C50" s="2" t="str">
        <f t="shared" si="0"/>
        <v>Feb</v>
      </c>
      <c r="D50" t="s">
        <v>30</v>
      </c>
      <c r="E50" t="s">
        <v>10</v>
      </c>
      <c r="F50" t="s">
        <v>21</v>
      </c>
      <c r="G50">
        <v>72</v>
      </c>
      <c r="H50" s="3">
        <v>11.2</v>
      </c>
      <c r="I50" s="3">
        <v>806.4</v>
      </c>
    </row>
    <row r="51" spans="1:9" x14ac:dyDescent="0.3">
      <c r="A51" t="s">
        <v>87</v>
      </c>
      <c r="B51" s="2">
        <v>46079</v>
      </c>
      <c r="C51" s="2" t="str">
        <f t="shared" si="0"/>
        <v>Feb</v>
      </c>
      <c r="D51" t="s">
        <v>63</v>
      </c>
      <c r="E51" t="s">
        <v>64</v>
      </c>
      <c r="F51" t="s">
        <v>11</v>
      </c>
      <c r="G51">
        <v>65</v>
      </c>
      <c r="H51" s="3">
        <v>23.56</v>
      </c>
      <c r="I51" s="3">
        <v>1531.4</v>
      </c>
    </row>
    <row r="52" spans="1:9" x14ac:dyDescent="0.3">
      <c r="A52" t="s">
        <v>88</v>
      </c>
      <c r="B52" s="2">
        <v>46080</v>
      </c>
      <c r="C52" s="2" t="str">
        <f t="shared" si="0"/>
        <v>Feb</v>
      </c>
      <c r="D52" t="s">
        <v>44</v>
      </c>
      <c r="E52" t="s">
        <v>14</v>
      </c>
      <c r="F52" t="s">
        <v>21</v>
      </c>
      <c r="G52">
        <v>139</v>
      </c>
      <c r="H52" s="3">
        <v>7.92</v>
      </c>
      <c r="I52" s="3">
        <v>1100.8800000000001</v>
      </c>
    </row>
    <row r="53" spans="1:9" x14ac:dyDescent="0.3">
      <c r="A53" t="s">
        <v>89</v>
      </c>
      <c r="B53" s="2">
        <v>46081</v>
      </c>
      <c r="C53" s="2" t="str">
        <f t="shared" si="0"/>
        <v>Feb</v>
      </c>
      <c r="D53" t="s">
        <v>35</v>
      </c>
      <c r="E53" t="s">
        <v>36</v>
      </c>
      <c r="F53" t="s">
        <v>11</v>
      </c>
      <c r="G53">
        <v>98</v>
      </c>
      <c r="H53" s="3">
        <v>26.67</v>
      </c>
      <c r="I53" s="3">
        <v>2613.66</v>
      </c>
    </row>
    <row r="54" spans="1:9" x14ac:dyDescent="0.3">
      <c r="A54" t="s">
        <v>90</v>
      </c>
      <c r="B54" s="2">
        <v>46082</v>
      </c>
      <c r="C54" s="2" t="str">
        <f t="shared" si="0"/>
        <v>Mar</v>
      </c>
      <c r="D54" t="s">
        <v>9</v>
      </c>
      <c r="E54" t="s">
        <v>10</v>
      </c>
      <c r="F54" t="s">
        <v>11</v>
      </c>
      <c r="G54">
        <v>70</v>
      </c>
      <c r="H54" s="3">
        <v>17.63</v>
      </c>
      <c r="I54" s="3">
        <v>1234.0999999999999</v>
      </c>
    </row>
    <row r="55" spans="1:9" x14ac:dyDescent="0.3">
      <c r="A55" t="s">
        <v>91</v>
      </c>
      <c r="B55" s="2">
        <v>46083</v>
      </c>
      <c r="C55" s="2" t="str">
        <f t="shared" si="0"/>
        <v>Mar</v>
      </c>
      <c r="D55" t="s">
        <v>19</v>
      </c>
      <c r="E55" t="s">
        <v>20</v>
      </c>
      <c r="F55" t="s">
        <v>21</v>
      </c>
      <c r="G55">
        <v>120</v>
      </c>
      <c r="H55" s="3">
        <v>5.1100000000000003</v>
      </c>
      <c r="I55" s="3">
        <v>613.20000000000005</v>
      </c>
    </row>
    <row r="56" spans="1:9" x14ac:dyDescent="0.3">
      <c r="A56" t="s">
        <v>92</v>
      </c>
      <c r="B56" s="2">
        <v>46084</v>
      </c>
      <c r="C56" s="2" t="str">
        <f t="shared" si="0"/>
        <v>Mar</v>
      </c>
      <c r="D56" t="s">
        <v>13</v>
      </c>
      <c r="E56" t="s">
        <v>14</v>
      </c>
      <c r="F56" t="s">
        <v>11</v>
      </c>
      <c r="G56">
        <v>34</v>
      </c>
      <c r="H56" s="3">
        <v>14.39</v>
      </c>
      <c r="I56" s="3">
        <v>489.26</v>
      </c>
    </row>
    <row r="57" spans="1:9" x14ac:dyDescent="0.3">
      <c r="A57" t="s">
        <v>93</v>
      </c>
      <c r="B57" s="2">
        <v>46085</v>
      </c>
      <c r="C57" s="2" t="str">
        <f t="shared" si="0"/>
        <v>Mar</v>
      </c>
      <c r="D57" t="s">
        <v>53</v>
      </c>
      <c r="E57" t="s">
        <v>20</v>
      </c>
      <c r="F57" t="s">
        <v>11</v>
      </c>
      <c r="G57">
        <v>67</v>
      </c>
      <c r="H57" s="3">
        <v>11.51</v>
      </c>
      <c r="I57" s="3">
        <v>771.17</v>
      </c>
    </row>
    <row r="58" spans="1:9" x14ac:dyDescent="0.3">
      <c r="A58" t="s">
        <v>94</v>
      </c>
      <c r="B58" s="2">
        <v>46086</v>
      </c>
      <c r="C58" s="2" t="str">
        <f t="shared" si="0"/>
        <v>Mar</v>
      </c>
      <c r="D58" t="s">
        <v>55</v>
      </c>
      <c r="E58" t="s">
        <v>36</v>
      </c>
      <c r="F58" t="s">
        <v>21</v>
      </c>
      <c r="G58">
        <v>44</v>
      </c>
      <c r="H58" s="3">
        <v>10.17</v>
      </c>
      <c r="I58" s="3">
        <v>447.48</v>
      </c>
    </row>
    <row r="59" spans="1:9" x14ac:dyDescent="0.3">
      <c r="A59" t="s">
        <v>95</v>
      </c>
      <c r="B59" s="2">
        <v>46087</v>
      </c>
      <c r="C59" s="2" t="str">
        <f t="shared" si="0"/>
        <v>Mar</v>
      </c>
      <c r="D59" t="s">
        <v>59</v>
      </c>
      <c r="E59" t="s">
        <v>39</v>
      </c>
      <c r="F59" t="s">
        <v>11</v>
      </c>
      <c r="G59">
        <v>65</v>
      </c>
      <c r="H59" s="3">
        <v>13.26</v>
      </c>
      <c r="I59" s="3">
        <v>861.9</v>
      </c>
    </row>
    <row r="60" spans="1:9" x14ac:dyDescent="0.3">
      <c r="A60" t="s">
        <v>96</v>
      </c>
      <c r="B60" s="2">
        <v>46088</v>
      </c>
      <c r="C60" s="2" t="str">
        <f t="shared" si="0"/>
        <v>Mar</v>
      </c>
      <c r="D60" t="s">
        <v>57</v>
      </c>
      <c r="E60" t="s">
        <v>24</v>
      </c>
      <c r="F60" t="s">
        <v>21</v>
      </c>
      <c r="G60">
        <v>118</v>
      </c>
      <c r="H60" s="3">
        <v>9.1</v>
      </c>
      <c r="I60" s="3">
        <v>1073.8</v>
      </c>
    </row>
    <row r="61" spans="1:9" x14ac:dyDescent="0.3">
      <c r="A61" t="s">
        <v>97</v>
      </c>
      <c r="B61" s="2">
        <v>46089</v>
      </c>
      <c r="C61" s="2" t="str">
        <f t="shared" si="0"/>
        <v>Mar</v>
      </c>
      <c r="D61" t="s">
        <v>59</v>
      </c>
      <c r="E61" t="s">
        <v>39</v>
      </c>
      <c r="F61" t="s">
        <v>11</v>
      </c>
      <c r="G61">
        <v>152</v>
      </c>
      <c r="H61" s="3">
        <v>13.04</v>
      </c>
      <c r="I61" s="3">
        <v>1982.08</v>
      </c>
    </row>
    <row r="62" spans="1:9" x14ac:dyDescent="0.3">
      <c r="A62" t="s">
        <v>98</v>
      </c>
      <c r="B62" s="2">
        <v>46090</v>
      </c>
      <c r="C62" s="2" t="str">
        <f t="shared" si="0"/>
        <v>Mar</v>
      </c>
      <c r="D62" t="s">
        <v>9</v>
      </c>
      <c r="E62" t="s">
        <v>10</v>
      </c>
      <c r="F62" t="s">
        <v>11</v>
      </c>
      <c r="G62">
        <v>131</v>
      </c>
      <c r="H62" s="3">
        <v>18.11</v>
      </c>
      <c r="I62" s="3">
        <v>2372.41</v>
      </c>
    </row>
    <row r="63" spans="1:9" x14ac:dyDescent="0.3">
      <c r="A63" t="s">
        <v>99</v>
      </c>
      <c r="B63" s="2">
        <v>46091</v>
      </c>
      <c r="C63" s="2" t="str">
        <f t="shared" si="0"/>
        <v>Mar</v>
      </c>
      <c r="D63" t="s">
        <v>63</v>
      </c>
      <c r="E63" t="s">
        <v>64</v>
      </c>
      <c r="F63" t="s">
        <v>11</v>
      </c>
      <c r="G63">
        <v>102</v>
      </c>
      <c r="H63" s="3">
        <v>23.37</v>
      </c>
      <c r="I63" s="3">
        <v>2383.7399999999998</v>
      </c>
    </row>
    <row r="64" spans="1:9" x14ac:dyDescent="0.3">
      <c r="A64" t="s">
        <v>100</v>
      </c>
      <c r="B64" s="2">
        <v>46092</v>
      </c>
      <c r="C64" s="2" t="str">
        <f t="shared" si="0"/>
        <v>Mar</v>
      </c>
      <c r="D64" t="s">
        <v>9</v>
      </c>
      <c r="E64" t="s">
        <v>10</v>
      </c>
      <c r="F64" t="s">
        <v>11</v>
      </c>
      <c r="G64">
        <v>42</v>
      </c>
      <c r="H64" s="3">
        <v>18.04</v>
      </c>
      <c r="I64" s="3">
        <v>757.68</v>
      </c>
    </row>
    <row r="65" spans="1:9" x14ac:dyDescent="0.3">
      <c r="A65" t="s">
        <v>101</v>
      </c>
      <c r="B65" s="2">
        <v>46093</v>
      </c>
      <c r="C65" s="2" t="str">
        <f t="shared" si="0"/>
        <v>Mar</v>
      </c>
      <c r="D65" t="s">
        <v>9</v>
      </c>
      <c r="E65" t="s">
        <v>10</v>
      </c>
      <c r="F65" t="s">
        <v>11</v>
      </c>
      <c r="G65">
        <v>70</v>
      </c>
      <c r="H65" s="3">
        <v>17.55</v>
      </c>
      <c r="I65" s="3">
        <v>1228.5</v>
      </c>
    </row>
    <row r="66" spans="1:9" x14ac:dyDescent="0.3">
      <c r="A66" t="s">
        <v>102</v>
      </c>
      <c r="B66" s="2">
        <v>46094</v>
      </c>
      <c r="C66" s="2" t="str">
        <f t="shared" si="0"/>
        <v>Mar</v>
      </c>
      <c r="D66" t="s">
        <v>38</v>
      </c>
      <c r="E66" t="s">
        <v>39</v>
      </c>
      <c r="F66" t="s">
        <v>21</v>
      </c>
      <c r="G66">
        <v>54</v>
      </c>
      <c r="H66" s="3">
        <v>6.03</v>
      </c>
      <c r="I66" s="3">
        <v>325.62</v>
      </c>
    </row>
    <row r="67" spans="1:9" x14ac:dyDescent="0.3">
      <c r="A67" t="s">
        <v>103</v>
      </c>
      <c r="B67" s="2">
        <v>46095</v>
      </c>
      <c r="C67" s="2" t="str">
        <f t="shared" ref="C67:C130" si="1">TEXT(B67,"mmm")</f>
        <v>Mar</v>
      </c>
      <c r="D67" t="s">
        <v>38</v>
      </c>
      <c r="E67" t="s">
        <v>39</v>
      </c>
      <c r="F67" t="s">
        <v>21</v>
      </c>
      <c r="G67">
        <v>70</v>
      </c>
      <c r="H67" s="3">
        <v>6.38</v>
      </c>
      <c r="I67" s="3">
        <v>446.6</v>
      </c>
    </row>
    <row r="68" spans="1:9" x14ac:dyDescent="0.3">
      <c r="A68" t="s">
        <v>104</v>
      </c>
      <c r="B68" s="2">
        <v>46096</v>
      </c>
      <c r="C68" s="2" t="str">
        <f t="shared" si="1"/>
        <v>Mar</v>
      </c>
      <c r="D68" t="s">
        <v>38</v>
      </c>
      <c r="E68" t="s">
        <v>39</v>
      </c>
      <c r="F68" t="s">
        <v>21</v>
      </c>
      <c r="G68">
        <v>152</v>
      </c>
      <c r="H68" s="3">
        <v>6.37</v>
      </c>
      <c r="I68" s="3">
        <v>968.24</v>
      </c>
    </row>
    <row r="69" spans="1:9" x14ac:dyDescent="0.3">
      <c r="A69" t="s">
        <v>105</v>
      </c>
      <c r="B69" s="2">
        <v>46097</v>
      </c>
      <c r="C69" s="2" t="str">
        <f t="shared" si="1"/>
        <v>Mar</v>
      </c>
      <c r="D69" t="s">
        <v>9</v>
      </c>
      <c r="E69" t="s">
        <v>10</v>
      </c>
      <c r="F69" t="s">
        <v>11</v>
      </c>
      <c r="G69">
        <v>41</v>
      </c>
      <c r="H69" s="3">
        <v>18.63</v>
      </c>
      <c r="I69" s="3">
        <v>763.83</v>
      </c>
    </row>
    <row r="70" spans="1:9" x14ac:dyDescent="0.3">
      <c r="A70" t="s">
        <v>106</v>
      </c>
      <c r="B70" s="2">
        <v>46098</v>
      </c>
      <c r="C70" s="2" t="str">
        <f t="shared" si="1"/>
        <v>Mar</v>
      </c>
      <c r="D70" t="s">
        <v>19</v>
      </c>
      <c r="E70" t="s">
        <v>20</v>
      </c>
      <c r="F70" t="s">
        <v>21</v>
      </c>
      <c r="G70">
        <v>47</v>
      </c>
      <c r="H70" s="3">
        <v>5.35</v>
      </c>
      <c r="I70" s="3">
        <v>251.45</v>
      </c>
    </row>
    <row r="71" spans="1:9" x14ac:dyDescent="0.3">
      <c r="A71" t="s">
        <v>107</v>
      </c>
      <c r="B71" s="2">
        <v>46099</v>
      </c>
      <c r="C71" s="2" t="str">
        <f t="shared" si="1"/>
        <v>Mar</v>
      </c>
      <c r="D71" t="s">
        <v>13</v>
      </c>
      <c r="E71" t="s">
        <v>14</v>
      </c>
      <c r="F71" t="s">
        <v>11</v>
      </c>
      <c r="G71">
        <v>58</v>
      </c>
      <c r="H71" s="3">
        <v>15.04</v>
      </c>
      <c r="I71" s="3">
        <v>872.32</v>
      </c>
    </row>
    <row r="72" spans="1:9" x14ac:dyDescent="0.3">
      <c r="A72" t="s">
        <v>108</v>
      </c>
      <c r="B72" s="2">
        <v>46100</v>
      </c>
      <c r="C72" s="2" t="str">
        <f t="shared" si="1"/>
        <v>Mar</v>
      </c>
      <c r="D72" t="s">
        <v>44</v>
      </c>
      <c r="E72" t="s">
        <v>14</v>
      </c>
      <c r="F72" t="s">
        <v>21</v>
      </c>
      <c r="G72">
        <v>161</v>
      </c>
      <c r="H72" s="3">
        <v>8.02</v>
      </c>
      <c r="I72" s="3">
        <v>1291.22</v>
      </c>
    </row>
    <row r="73" spans="1:9" x14ac:dyDescent="0.3">
      <c r="A73" t="s">
        <v>109</v>
      </c>
      <c r="B73" s="2">
        <v>46101</v>
      </c>
      <c r="C73" s="2" t="str">
        <f t="shared" si="1"/>
        <v>Mar</v>
      </c>
      <c r="D73" t="s">
        <v>30</v>
      </c>
      <c r="E73" t="s">
        <v>10</v>
      </c>
      <c r="F73" t="s">
        <v>21</v>
      </c>
      <c r="G73">
        <v>89</v>
      </c>
      <c r="H73" s="3">
        <v>10.45</v>
      </c>
      <c r="I73" s="3">
        <v>930.05</v>
      </c>
    </row>
    <row r="74" spans="1:9" x14ac:dyDescent="0.3">
      <c r="A74" t="s">
        <v>110</v>
      </c>
      <c r="B74" s="2">
        <v>46102</v>
      </c>
      <c r="C74" s="2" t="str">
        <f t="shared" si="1"/>
        <v>Mar</v>
      </c>
      <c r="D74" t="s">
        <v>27</v>
      </c>
      <c r="E74" t="s">
        <v>28</v>
      </c>
      <c r="F74" t="s">
        <v>21</v>
      </c>
      <c r="G74">
        <v>170</v>
      </c>
      <c r="H74" s="3">
        <v>6.31</v>
      </c>
      <c r="I74" s="3">
        <v>1072.7</v>
      </c>
    </row>
    <row r="75" spans="1:9" x14ac:dyDescent="0.3">
      <c r="A75" t="s">
        <v>111</v>
      </c>
      <c r="B75" s="2">
        <v>46103</v>
      </c>
      <c r="C75" s="2" t="str">
        <f t="shared" si="1"/>
        <v>Mar</v>
      </c>
      <c r="D75" t="s">
        <v>82</v>
      </c>
      <c r="E75" t="s">
        <v>28</v>
      </c>
      <c r="F75" t="s">
        <v>11</v>
      </c>
      <c r="G75">
        <v>96</v>
      </c>
      <c r="H75" s="3">
        <v>14.57</v>
      </c>
      <c r="I75" s="3">
        <v>1398.72</v>
      </c>
    </row>
    <row r="76" spans="1:9" x14ac:dyDescent="0.3">
      <c r="A76" t="s">
        <v>112</v>
      </c>
      <c r="B76" s="2">
        <v>46104</v>
      </c>
      <c r="C76" s="2" t="str">
        <f t="shared" si="1"/>
        <v>Mar</v>
      </c>
      <c r="D76" t="s">
        <v>16</v>
      </c>
      <c r="E76" t="s">
        <v>17</v>
      </c>
      <c r="F76" t="s">
        <v>11</v>
      </c>
      <c r="G76">
        <v>131</v>
      </c>
      <c r="H76" s="3">
        <v>25.04</v>
      </c>
      <c r="I76" s="3">
        <v>3280.24</v>
      </c>
    </row>
    <row r="77" spans="1:9" x14ac:dyDescent="0.3">
      <c r="A77" t="s">
        <v>113</v>
      </c>
      <c r="B77" s="2">
        <v>46105</v>
      </c>
      <c r="C77" s="2" t="str">
        <f t="shared" si="1"/>
        <v>Mar</v>
      </c>
      <c r="D77" t="s">
        <v>44</v>
      </c>
      <c r="E77" t="s">
        <v>14</v>
      </c>
      <c r="F77" t="s">
        <v>21</v>
      </c>
      <c r="G77">
        <v>67</v>
      </c>
      <c r="H77" s="3">
        <v>7.83</v>
      </c>
      <c r="I77" s="3">
        <v>524.61</v>
      </c>
    </row>
    <row r="78" spans="1:9" x14ac:dyDescent="0.3">
      <c r="A78" t="s">
        <v>114</v>
      </c>
      <c r="B78" s="2">
        <v>46106</v>
      </c>
      <c r="C78" s="2" t="str">
        <f t="shared" si="1"/>
        <v>Mar</v>
      </c>
      <c r="D78" t="s">
        <v>57</v>
      </c>
      <c r="E78" t="s">
        <v>24</v>
      </c>
      <c r="F78" t="s">
        <v>21</v>
      </c>
      <c r="G78">
        <v>124</v>
      </c>
      <c r="H78" s="3">
        <v>9.18</v>
      </c>
      <c r="I78" s="3">
        <v>1138.32</v>
      </c>
    </row>
    <row r="79" spans="1:9" x14ac:dyDescent="0.3">
      <c r="A79" t="s">
        <v>115</v>
      </c>
      <c r="B79" s="2">
        <v>46107</v>
      </c>
      <c r="C79" s="2" t="str">
        <f t="shared" si="1"/>
        <v>Mar</v>
      </c>
      <c r="D79" t="s">
        <v>55</v>
      </c>
      <c r="E79" t="s">
        <v>36</v>
      </c>
      <c r="F79" t="s">
        <v>21</v>
      </c>
      <c r="G79">
        <v>37</v>
      </c>
      <c r="H79" s="3">
        <v>9.57</v>
      </c>
      <c r="I79" s="3">
        <v>354.09</v>
      </c>
    </row>
    <row r="80" spans="1:9" x14ac:dyDescent="0.3">
      <c r="A80" t="s">
        <v>116</v>
      </c>
      <c r="B80" s="2">
        <v>46108</v>
      </c>
      <c r="C80" s="2" t="str">
        <f t="shared" si="1"/>
        <v>Mar</v>
      </c>
      <c r="D80" t="s">
        <v>70</v>
      </c>
      <c r="E80" t="s">
        <v>17</v>
      </c>
      <c r="F80" t="s">
        <v>21</v>
      </c>
      <c r="G80">
        <v>147</v>
      </c>
      <c r="H80" s="3">
        <v>16.97</v>
      </c>
      <c r="I80" s="3">
        <v>2494.59</v>
      </c>
    </row>
    <row r="81" spans="1:9" x14ac:dyDescent="0.3">
      <c r="A81" t="s">
        <v>117</v>
      </c>
      <c r="B81" s="2">
        <v>46109</v>
      </c>
      <c r="C81" s="2" t="str">
        <f t="shared" si="1"/>
        <v>Mar</v>
      </c>
      <c r="D81" t="s">
        <v>53</v>
      </c>
      <c r="E81" t="s">
        <v>20</v>
      </c>
      <c r="F81" t="s">
        <v>11</v>
      </c>
      <c r="G81">
        <v>95</v>
      </c>
      <c r="H81" s="3">
        <v>11.52</v>
      </c>
      <c r="I81" s="3">
        <v>1094.4000000000001</v>
      </c>
    </row>
    <row r="82" spans="1:9" x14ac:dyDescent="0.3">
      <c r="A82" t="s">
        <v>118</v>
      </c>
      <c r="B82" s="2">
        <v>46110</v>
      </c>
      <c r="C82" s="2" t="str">
        <f t="shared" si="1"/>
        <v>Mar</v>
      </c>
      <c r="D82" t="s">
        <v>41</v>
      </c>
      <c r="E82" t="s">
        <v>20</v>
      </c>
      <c r="F82" t="s">
        <v>21</v>
      </c>
      <c r="G82">
        <v>106</v>
      </c>
      <c r="H82" s="3">
        <v>6.71</v>
      </c>
      <c r="I82" s="3">
        <v>711.26</v>
      </c>
    </row>
    <row r="83" spans="1:9" x14ac:dyDescent="0.3">
      <c r="A83" t="s">
        <v>119</v>
      </c>
      <c r="B83" s="2">
        <v>46111</v>
      </c>
      <c r="C83" s="2" t="str">
        <f t="shared" si="1"/>
        <v>Mar</v>
      </c>
      <c r="D83" t="s">
        <v>13</v>
      </c>
      <c r="E83" t="s">
        <v>14</v>
      </c>
      <c r="F83" t="s">
        <v>11</v>
      </c>
      <c r="G83">
        <v>81</v>
      </c>
      <c r="H83" s="3">
        <v>14.48</v>
      </c>
      <c r="I83" s="3">
        <v>1172.8800000000001</v>
      </c>
    </row>
    <row r="84" spans="1:9" x14ac:dyDescent="0.3">
      <c r="A84" t="s">
        <v>120</v>
      </c>
      <c r="B84" s="2">
        <v>46112</v>
      </c>
      <c r="C84" s="2" t="str">
        <f t="shared" si="1"/>
        <v>Mar</v>
      </c>
      <c r="D84" t="s">
        <v>13</v>
      </c>
      <c r="E84" t="s">
        <v>14</v>
      </c>
      <c r="F84" t="s">
        <v>11</v>
      </c>
      <c r="G84">
        <v>104</v>
      </c>
      <c r="H84" s="3">
        <v>15.41</v>
      </c>
      <c r="I84" s="3">
        <v>1602.64</v>
      </c>
    </row>
    <row r="85" spans="1:9" x14ac:dyDescent="0.3">
      <c r="A85" t="s">
        <v>121</v>
      </c>
      <c r="B85" s="2">
        <v>46113</v>
      </c>
      <c r="C85" s="2" t="str">
        <f t="shared" si="1"/>
        <v>Apr</v>
      </c>
      <c r="D85" t="s">
        <v>41</v>
      </c>
      <c r="E85" t="s">
        <v>20</v>
      </c>
      <c r="F85" t="s">
        <v>21</v>
      </c>
      <c r="G85">
        <v>83</v>
      </c>
      <c r="H85" s="3">
        <v>7.25</v>
      </c>
      <c r="I85" s="3">
        <v>601.75</v>
      </c>
    </row>
    <row r="86" spans="1:9" x14ac:dyDescent="0.3">
      <c r="A86" t="s">
        <v>122</v>
      </c>
      <c r="B86" s="2">
        <v>46114</v>
      </c>
      <c r="C86" s="2" t="str">
        <f t="shared" si="1"/>
        <v>Apr</v>
      </c>
      <c r="D86" t="s">
        <v>70</v>
      </c>
      <c r="E86" t="s">
        <v>17</v>
      </c>
      <c r="F86" t="s">
        <v>21</v>
      </c>
      <c r="G86">
        <v>70</v>
      </c>
      <c r="H86" s="3">
        <v>17.14</v>
      </c>
      <c r="I86" s="3">
        <v>1199.8</v>
      </c>
    </row>
    <row r="87" spans="1:9" x14ac:dyDescent="0.3">
      <c r="A87" t="s">
        <v>123</v>
      </c>
      <c r="B87" s="2">
        <v>46115</v>
      </c>
      <c r="C87" s="2" t="str">
        <f t="shared" si="1"/>
        <v>Apr</v>
      </c>
      <c r="D87" t="s">
        <v>55</v>
      </c>
      <c r="E87" t="s">
        <v>36</v>
      </c>
      <c r="F87" t="s">
        <v>21</v>
      </c>
      <c r="G87">
        <v>60</v>
      </c>
      <c r="H87" s="3">
        <v>9.85</v>
      </c>
      <c r="I87" s="3">
        <v>591</v>
      </c>
    </row>
    <row r="88" spans="1:9" x14ac:dyDescent="0.3">
      <c r="A88" t="s">
        <v>124</v>
      </c>
      <c r="B88" s="2">
        <v>46116</v>
      </c>
      <c r="C88" s="2" t="str">
        <f t="shared" si="1"/>
        <v>Apr</v>
      </c>
      <c r="D88" t="s">
        <v>82</v>
      </c>
      <c r="E88" t="s">
        <v>28</v>
      </c>
      <c r="F88" t="s">
        <v>11</v>
      </c>
      <c r="G88">
        <v>88</v>
      </c>
      <c r="H88" s="3">
        <v>13.88</v>
      </c>
      <c r="I88" s="3">
        <v>1221.44</v>
      </c>
    </row>
    <row r="89" spans="1:9" x14ac:dyDescent="0.3">
      <c r="A89" t="s">
        <v>125</v>
      </c>
      <c r="B89" s="2">
        <v>46117</v>
      </c>
      <c r="C89" s="2" t="str">
        <f t="shared" si="1"/>
        <v>Apr</v>
      </c>
      <c r="D89" t="s">
        <v>41</v>
      </c>
      <c r="E89" t="s">
        <v>20</v>
      </c>
      <c r="F89" t="s">
        <v>21</v>
      </c>
      <c r="G89">
        <v>31</v>
      </c>
      <c r="H89" s="3">
        <v>7.07</v>
      </c>
      <c r="I89" s="3">
        <v>219.17</v>
      </c>
    </row>
    <row r="90" spans="1:9" x14ac:dyDescent="0.3">
      <c r="A90" t="s">
        <v>126</v>
      </c>
      <c r="B90" s="2">
        <v>46118</v>
      </c>
      <c r="C90" s="2" t="str">
        <f t="shared" si="1"/>
        <v>Apr</v>
      </c>
      <c r="D90" t="s">
        <v>9</v>
      </c>
      <c r="E90" t="s">
        <v>10</v>
      </c>
      <c r="F90" t="s">
        <v>11</v>
      </c>
      <c r="G90">
        <v>39</v>
      </c>
      <c r="H90" s="3">
        <v>18.36</v>
      </c>
      <c r="I90" s="3">
        <v>716.04</v>
      </c>
    </row>
    <row r="91" spans="1:9" x14ac:dyDescent="0.3">
      <c r="A91" t="s">
        <v>127</v>
      </c>
      <c r="B91" s="2">
        <v>46119</v>
      </c>
      <c r="C91" s="2" t="str">
        <f t="shared" si="1"/>
        <v>Apr</v>
      </c>
      <c r="D91" t="s">
        <v>27</v>
      </c>
      <c r="E91" t="s">
        <v>28</v>
      </c>
      <c r="F91" t="s">
        <v>21</v>
      </c>
      <c r="G91">
        <v>46</v>
      </c>
      <c r="H91" s="3">
        <v>6.43</v>
      </c>
      <c r="I91" s="3">
        <v>295.77999999999997</v>
      </c>
    </row>
    <row r="92" spans="1:9" x14ac:dyDescent="0.3">
      <c r="A92" t="s">
        <v>128</v>
      </c>
      <c r="B92" s="2">
        <v>46120</v>
      </c>
      <c r="C92" s="2" t="str">
        <f t="shared" si="1"/>
        <v>Apr</v>
      </c>
      <c r="D92" t="s">
        <v>13</v>
      </c>
      <c r="E92" t="s">
        <v>14</v>
      </c>
      <c r="F92" t="s">
        <v>11</v>
      </c>
      <c r="G92">
        <v>77</v>
      </c>
      <c r="H92" s="3">
        <v>14.81</v>
      </c>
      <c r="I92" s="3">
        <v>1140.3699999999999</v>
      </c>
    </row>
    <row r="93" spans="1:9" x14ac:dyDescent="0.3">
      <c r="A93" t="s">
        <v>129</v>
      </c>
      <c r="B93" s="2">
        <v>46121</v>
      </c>
      <c r="C93" s="2" t="str">
        <f t="shared" si="1"/>
        <v>Apr</v>
      </c>
      <c r="D93" t="s">
        <v>16</v>
      </c>
      <c r="E93" t="s">
        <v>17</v>
      </c>
      <c r="F93" t="s">
        <v>11</v>
      </c>
      <c r="G93">
        <v>120</v>
      </c>
      <c r="H93" s="3">
        <v>23.74</v>
      </c>
      <c r="I93" s="3">
        <v>2848.8</v>
      </c>
    </row>
    <row r="94" spans="1:9" x14ac:dyDescent="0.3">
      <c r="A94" t="s">
        <v>130</v>
      </c>
      <c r="B94" s="2">
        <v>46122</v>
      </c>
      <c r="C94" s="2" t="str">
        <f t="shared" si="1"/>
        <v>Apr</v>
      </c>
      <c r="D94" t="s">
        <v>70</v>
      </c>
      <c r="E94" t="s">
        <v>17</v>
      </c>
      <c r="F94" t="s">
        <v>21</v>
      </c>
      <c r="G94">
        <v>31</v>
      </c>
      <c r="H94" s="3">
        <v>16.59</v>
      </c>
      <c r="I94" s="3">
        <v>514.29</v>
      </c>
    </row>
    <row r="95" spans="1:9" x14ac:dyDescent="0.3">
      <c r="A95" t="s">
        <v>131</v>
      </c>
      <c r="B95" s="2">
        <v>46123</v>
      </c>
      <c r="C95" s="2" t="str">
        <f t="shared" si="1"/>
        <v>Apr</v>
      </c>
      <c r="D95" t="s">
        <v>82</v>
      </c>
      <c r="E95" t="s">
        <v>28</v>
      </c>
      <c r="F95" t="s">
        <v>11</v>
      </c>
      <c r="G95">
        <v>149</v>
      </c>
      <c r="H95" s="3">
        <v>14.51</v>
      </c>
      <c r="I95" s="3">
        <v>2161.9899999999998</v>
      </c>
    </row>
    <row r="96" spans="1:9" x14ac:dyDescent="0.3">
      <c r="A96" t="s">
        <v>132</v>
      </c>
      <c r="B96" s="2">
        <v>46124</v>
      </c>
      <c r="C96" s="2" t="str">
        <f t="shared" si="1"/>
        <v>Apr</v>
      </c>
      <c r="D96" t="s">
        <v>27</v>
      </c>
      <c r="E96" t="s">
        <v>28</v>
      </c>
      <c r="F96" t="s">
        <v>21</v>
      </c>
      <c r="G96">
        <v>44</v>
      </c>
      <c r="H96" s="3">
        <v>6.39</v>
      </c>
      <c r="I96" s="3">
        <v>281.16000000000003</v>
      </c>
    </row>
    <row r="97" spans="1:9" x14ac:dyDescent="0.3">
      <c r="A97" t="s">
        <v>133</v>
      </c>
      <c r="B97" s="2">
        <v>46125</v>
      </c>
      <c r="C97" s="2" t="str">
        <f t="shared" si="1"/>
        <v>Apr</v>
      </c>
      <c r="D97" t="s">
        <v>16</v>
      </c>
      <c r="E97" t="s">
        <v>17</v>
      </c>
      <c r="F97" t="s">
        <v>11</v>
      </c>
      <c r="G97">
        <v>49</v>
      </c>
      <c r="H97" s="3">
        <v>23.65</v>
      </c>
      <c r="I97" s="3">
        <v>1158.8499999999999</v>
      </c>
    </row>
    <row r="98" spans="1:9" x14ac:dyDescent="0.3">
      <c r="A98" t="s">
        <v>134</v>
      </c>
      <c r="B98" s="2">
        <v>46126</v>
      </c>
      <c r="C98" s="2" t="str">
        <f t="shared" si="1"/>
        <v>Apr</v>
      </c>
      <c r="D98" t="s">
        <v>44</v>
      </c>
      <c r="E98" t="s">
        <v>14</v>
      </c>
      <c r="F98" t="s">
        <v>21</v>
      </c>
      <c r="G98">
        <v>121</v>
      </c>
      <c r="H98" s="3">
        <v>7.96</v>
      </c>
      <c r="I98" s="3">
        <v>963.16</v>
      </c>
    </row>
    <row r="99" spans="1:9" x14ac:dyDescent="0.3">
      <c r="A99" t="s">
        <v>135</v>
      </c>
      <c r="B99" s="2">
        <v>46127</v>
      </c>
      <c r="C99" s="2" t="str">
        <f t="shared" si="1"/>
        <v>Apr</v>
      </c>
      <c r="D99" t="s">
        <v>27</v>
      </c>
      <c r="E99" t="s">
        <v>28</v>
      </c>
      <c r="F99" t="s">
        <v>21</v>
      </c>
      <c r="G99">
        <v>94</v>
      </c>
      <c r="H99" s="3">
        <v>6.08</v>
      </c>
      <c r="I99" s="3">
        <v>571.52</v>
      </c>
    </row>
    <row r="100" spans="1:9" x14ac:dyDescent="0.3">
      <c r="A100" t="s">
        <v>136</v>
      </c>
      <c r="B100" s="2">
        <v>46128</v>
      </c>
      <c r="C100" s="2" t="str">
        <f t="shared" si="1"/>
        <v>Apr</v>
      </c>
      <c r="D100" t="s">
        <v>53</v>
      </c>
      <c r="E100" t="s">
        <v>20</v>
      </c>
      <c r="F100" t="s">
        <v>11</v>
      </c>
      <c r="G100">
        <v>41</v>
      </c>
      <c r="H100" s="3">
        <v>12.39</v>
      </c>
      <c r="I100" s="3">
        <v>507.99</v>
      </c>
    </row>
    <row r="101" spans="1:9" x14ac:dyDescent="0.3">
      <c r="A101" t="s">
        <v>137</v>
      </c>
      <c r="B101" s="2">
        <v>46129</v>
      </c>
      <c r="C101" s="2" t="str">
        <f t="shared" si="1"/>
        <v>Apr</v>
      </c>
      <c r="D101" t="s">
        <v>27</v>
      </c>
      <c r="E101" t="s">
        <v>28</v>
      </c>
      <c r="F101" t="s">
        <v>21</v>
      </c>
      <c r="G101">
        <v>35</v>
      </c>
      <c r="H101" s="3">
        <v>5.7</v>
      </c>
      <c r="I101" s="3">
        <v>199.5</v>
      </c>
    </row>
    <row r="102" spans="1:9" x14ac:dyDescent="0.3">
      <c r="A102" t="s">
        <v>138</v>
      </c>
      <c r="B102" s="2">
        <v>46130</v>
      </c>
      <c r="C102" s="2" t="str">
        <f t="shared" si="1"/>
        <v>Apr</v>
      </c>
      <c r="D102" t="s">
        <v>32</v>
      </c>
      <c r="E102" t="s">
        <v>10</v>
      </c>
      <c r="F102" t="s">
        <v>21</v>
      </c>
      <c r="G102">
        <v>111</v>
      </c>
      <c r="H102" s="3">
        <v>9.6999999999999993</v>
      </c>
      <c r="I102" s="3">
        <v>1076.7</v>
      </c>
    </row>
    <row r="103" spans="1:9" x14ac:dyDescent="0.3">
      <c r="A103" t="s">
        <v>139</v>
      </c>
      <c r="B103" s="2">
        <v>46131</v>
      </c>
      <c r="C103" s="2" t="str">
        <f t="shared" si="1"/>
        <v>Apr</v>
      </c>
      <c r="D103" t="s">
        <v>38</v>
      </c>
      <c r="E103" t="s">
        <v>39</v>
      </c>
      <c r="F103" t="s">
        <v>21</v>
      </c>
      <c r="G103">
        <v>100</v>
      </c>
      <c r="H103" s="3">
        <v>6.25</v>
      </c>
      <c r="I103" s="3">
        <v>625</v>
      </c>
    </row>
    <row r="104" spans="1:9" x14ac:dyDescent="0.3">
      <c r="A104" t="s">
        <v>140</v>
      </c>
      <c r="B104" s="2">
        <v>46132</v>
      </c>
      <c r="C104" s="2" t="str">
        <f t="shared" si="1"/>
        <v>Apr</v>
      </c>
      <c r="D104" t="s">
        <v>19</v>
      </c>
      <c r="E104" t="s">
        <v>20</v>
      </c>
      <c r="F104" t="s">
        <v>21</v>
      </c>
      <c r="G104">
        <v>44</v>
      </c>
      <c r="H104" s="3">
        <v>4.8</v>
      </c>
      <c r="I104" s="3">
        <v>211.2</v>
      </c>
    </row>
    <row r="105" spans="1:9" x14ac:dyDescent="0.3">
      <c r="A105" t="s">
        <v>141</v>
      </c>
      <c r="B105" s="2">
        <v>46133</v>
      </c>
      <c r="C105" s="2" t="str">
        <f t="shared" si="1"/>
        <v>Apr</v>
      </c>
      <c r="D105" t="s">
        <v>32</v>
      </c>
      <c r="E105" t="s">
        <v>10</v>
      </c>
      <c r="F105" t="s">
        <v>21</v>
      </c>
      <c r="G105">
        <v>99</v>
      </c>
      <c r="H105" s="3">
        <v>8.59</v>
      </c>
      <c r="I105" s="3">
        <v>850.41</v>
      </c>
    </row>
    <row r="106" spans="1:9" x14ac:dyDescent="0.3">
      <c r="A106" t="s">
        <v>142</v>
      </c>
      <c r="B106" s="2">
        <v>46134</v>
      </c>
      <c r="C106" s="2" t="str">
        <f t="shared" si="1"/>
        <v>Apr</v>
      </c>
      <c r="D106" t="s">
        <v>57</v>
      </c>
      <c r="E106" t="s">
        <v>24</v>
      </c>
      <c r="F106" t="s">
        <v>21</v>
      </c>
      <c r="G106">
        <v>100</v>
      </c>
      <c r="H106" s="3">
        <v>8.7200000000000006</v>
      </c>
      <c r="I106" s="3">
        <v>872</v>
      </c>
    </row>
    <row r="107" spans="1:9" x14ac:dyDescent="0.3">
      <c r="A107" t="s">
        <v>143</v>
      </c>
      <c r="B107" s="2">
        <v>46135</v>
      </c>
      <c r="C107" s="2" t="str">
        <f t="shared" si="1"/>
        <v>Apr</v>
      </c>
      <c r="D107" t="s">
        <v>53</v>
      </c>
      <c r="E107" t="s">
        <v>20</v>
      </c>
      <c r="F107" t="s">
        <v>11</v>
      </c>
      <c r="G107">
        <v>69</v>
      </c>
      <c r="H107" s="3">
        <v>11.97</v>
      </c>
      <c r="I107" s="3">
        <v>825.93</v>
      </c>
    </row>
    <row r="108" spans="1:9" x14ac:dyDescent="0.3">
      <c r="A108" t="s">
        <v>144</v>
      </c>
      <c r="B108" s="2">
        <v>46136</v>
      </c>
      <c r="C108" s="2" t="str">
        <f t="shared" si="1"/>
        <v>Apr</v>
      </c>
      <c r="D108" t="s">
        <v>53</v>
      </c>
      <c r="E108" t="s">
        <v>20</v>
      </c>
      <c r="F108" t="s">
        <v>11</v>
      </c>
      <c r="G108">
        <v>145</v>
      </c>
      <c r="H108" s="3">
        <v>11.96</v>
      </c>
      <c r="I108" s="3">
        <v>1734.2</v>
      </c>
    </row>
    <row r="109" spans="1:9" x14ac:dyDescent="0.3">
      <c r="A109" t="s">
        <v>145</v>
      </c>
      <c r="B109" s="2">
        <v>46137</v>
      </c>
      <c r="C109" s="2" t="str">
        <f t="shared" si="1"/>
        <v>Apr</v>
      </c>
      <c r="D109" t="s">
        <v>13</v>
      </c>
      <c r="E109" t="s">
        <v>14</v>
      </c>
      <c r="F109" t="s">
        <v>11</v>
      </c>
      <c r="G109">
        <v>115</v>
      </c>
      <c r="H109" s="3">
        <v>14.45</v>
      </c>
      <c r="I109" s="3">
        <v>1661.75</v>
      </c>
    </row>
    <row r="110" spans="1:9" x14ac:dyDescent="0.3">
      <c r="A110" t="s">
        <v>146</v>
      </c>
      <c r="B110" s="2">
        <v>46138</v>
      </c>
      <c r="C110" s="2" t="str">
        <f t="shared" si="1"/>
        <v>Apr</v>
      </c>
      <c r="D110" t="s">
        <v>16</v>
      </c>
      <c r="E110" t="s">
        <v>17</v>
      </c>
      <c r="F110" t="s">
        <v>11</v>
      </c>
      <c r="G110">
        <v>143</v>
      </c>
      <c r="H110" s="3">
        <v>25.53</v>
      </c>
      <c r="I110" s="3">
        <v>3650.79</v>
      </c>
    </row>
    <row r="111" spans="1:9" x14ac:dyDescent="0.3">
      <c r="A111" t="s">
        <v>147</v>
      </c>
      <c r="B111" s="2">
        <v>46139</v>
      </c>
      <c r="C111" s="2" t="str">
        <f t="shared" si="1"/>
        <v>Apr</v>
      </c>
      <c r="D111" t="s">
        <v>32</v>
      </c>
      <c r="E111" t="s">
        <v>10</v>
      </c>
      <c r="F111" t="s">
        <v>21</v>
      </c>
      <c r="G111">
        <v>148</v>
      </c>
      <c r="H111" s="3">
        <v>9.64</v>
      </c>
      <c r="I111" s="3">
        <v>1426.72</v>
      </c>
    </row>
    <row r="112" spans="1:9" x14ac:dyDescent="0.3">
      <c r="A112" t="s">
        <v>148</v>
      </c>
      <c r="B112" s="2">
        <v>46140</v>
      </c>
      <c r="C112" s="2" t="str">
        <f t="shared" si="1"/>
        <v>Apr</v>
      </c>
      <c r="D112" t="s">
        <v>30</v>
      </c>
      <c r="E112" t="s">
        <v>10</v>
      </c>
      <c r="F112" t="s">
        <v>21</v>
      </c>
      <c r="G112">
        <v>132</v>
      </c>
      <c r="H112" s="3">
        <v>11.61</v>
      </c>
      <c r="I112" s="3">
        <v>1532.52</v>
      </c>
    </row>
    <row r="113" spans="1:9" x14ac:dyDescent="0.3">
      <c r="A113" t="s">
        <v>149</v>
      </c>
      <c r="B113" s="2">
        <v>46141</v>
      </c>
      <c r="C113" s="2" t="str">
        <f t="shared" si="1"/>
        <v>Apr</v>
      </c>
      <c r="D113" t="s">
        <v>19</v>
      </c>
      <c r="E113" t="s">
        <v>20</v>
      </c>
      <c r="F113" t="s">
        <v>21</v>
      </c>
      <c r="G113">
        <v>52</v>
      </c>
      <c r="H113" s="3">
        <v>5.23</v>
      </c>
      <c r="I113" s="3">
        <v>271.95999999999998</v>
      </c>
    </row>
    <row r="114" spans="1:9" x14ac:dyDescent="0.3">
      <c r="A114" t="s">
        <v>150</v>
      </c>
      <c r="B114" s="2">
        <v>46142</v>
      </c>
      <c r="C114" s="2" t="str">
        <f t="shared" si="1"/>
        <v>Apr</v>
      </c>
      <c r="D114" t="s">
        <v>63</v>
      </c>
      <c r="E114" t="s">
        <v>64</v>
      </c>
      <c r="F114" t="s">
        <v>11</v>
      </c>
      <c r="G114">
        <v>132</v>
      </c>
      <c r="H114" s="3">
        <v>22.82</v>
      </c>
      <c r="I114" s="3">
        <v>3012.24</v>
      </c>
    </row>
    <row r="115" spans="1:9" x14ac:dyDescent="0.3">
      <c r="A115" t="s">
        <v>151</v>
      </c>
      <c r="B115" s="2">
        <v>46143</v>
      </c>
      <c r="C115" s="2" t="str">
        <f t="shared" si="1"/>
        <v>May</v>
      </c>
      <c r="D115" t="s">
        <v>13</v>
      </c>
      <c r="E115" t="s">
        <v>14</v>
      </c>
      <c r="F115" t="s">
        <v>11</v>
      </c>
      <c r="G115">
        <v>64</v>
      </c>
      <c r="H115" s="3">
        <v>14.56</v>
      </c>
      <c r="I115" s="3">
        <v>931.84</v>
      </c>
    </row>
    <row r="116" spans="1:9" x14ac:dyDescent="0.3">
      <c r="A116" t="s">
        <v>152</v>
      </c>
      <c r="B116" s="2">
        <v>46144</v>
      </c>
      <c r="C116" s="2" t="str">
        <f t="shared" si="1"/>
        <v>May</v>
      </c>
      <c r="D116" t="s">
        <v>9</v>
      </c>
      <c r="E116" t="s">
        <v>10</v>
      </c>
      <c r="F116" t="s">
        <v>11</v>
      </c>
      <c r="G116">
        <v>78</v>
      </c>
      <c r="H116" s="3">
        <v>19.14</v>
      </c>
      <c r="I116" s="3">
        <v>1492.92</v>
      </c>
    </row>
    <row r="117" spans="1:9" x14ac:dyDescent="0.3">
      <c r="A117" t="s">
        <v>153</v>
      </c>
      <c r="B117" s="2">
        <v>46145</v>
      </c>
      <c r="C117" s="2" t="str">
        <f t="shared" si="1"/>
        <v>May</v>
      </c>
      <c r="D117" t="s">
        <v>59</v>
      </c>
      <c r="E117" t="s">
        <v>39</v>
      </c>
      <c r="F117" t="s">
        <v>11</v>
      </c>
      <c r="G117">
        <v>58</v>
      </c>
      <c r="H117" s="3">
        <v>12.69</v>
      </c>
      <c r="I117" s="3">
        <v>736.02</v>
      </c>
    </row>
    <row r="118" spans="1:9" x14ac:dyDescent="0.3">
      <c r="A118" t="s">
        <v>154</v>
      </c>
      <c r="B118" s="2">
        <v>46146</v>
      </c>
      <c r="C118" s="2" t="str">
        <f t="shared" si="1"/>
        <v>May</v>
      </c>
      <c r="D118" t="s">
        <v>35</v>
      </c>
      <c r="E118" t="s">
        <v>36</v>
      </c>
      <c r="F118" t="s">
        <v>11</v>
      </c>
      <c r="G118">
        <v>69</v>
      </c>
      <c r="H118" s="3">
        <v>26.42</v>
      </c>
      <c r="I118" s="3">
        <v>1822.98</v>
      </c>
    </row>
    <row r="119" spans="1:9" x14ac:dyDescent="0.3">
      <c r="A119" t="s">
        <v>155</v>
      </c>
      <c r="B119" s="2">
        <v>46147</v>
      </c>
      <c r="C119" s="2" t="str">
        <f t="shared" si="1"/>
        <v>May</v>
      </c>
      <c r="D119" t="s">
        <v>13</v>
      </c>
      <c r="E119" t="s">
        <v>14</v>
      </c>
      <c r="F119" t="s">
        <v>11</v>
      </c>
      <c r="G119">
        <v>58</v>
      </c>
      <c r="H119" s="3">
        <v>14.3</v>
      </c>
      <c r="I119" s="3">
        <v>829.4</v>
      </c>
    </row>
    <row r="120" spans="1:9" x14ac:dyDescent="0.3">
      <c r="A120" t="s">
        <v>156</v>
      </c>
      <c r="B120" s="2">
        <v>46148</v>
      </c>
      <c r="C120" s="2" t="str">
        <f t="shared" si="1"/>
        <v>May</v>
      </c>
      <c r="D120" t="s">
        <v>157</v>
      </c>
      <c r="E120" t="s">
        <v>64</v>
      </c>
      <c r="F120" t="s">
        <v>21</v>
      </c>
      <c r="G120">
        <v>72</v>
      </c>
      <c r="H120" s="3">
        <v>6.9</v>
      </c>
      <c r="I120" s="3">
        <v>496.8</v>
      </c>
    </row>
    <row r="121" spans="1:9" x14ac:dyDescent="0.3">
      <c r="A121" t="s">
        <v>158</v>
      </c>
      <c r="B121" s="2">
        <v>46149</v>
      </c>
      <c r="C121" s="2" t="str">
        <f t="shared" si="1"/>
        <v>May</v>
      </c>
      <c r="D121" t="s">
        <v>27</v>
      </c>
      <c r="E121" t="s">
        <v>28</v>
      </c>
      <c r="F121" t="s">
        <v>21</v>
      </c>
      <c r="G121">
        <v>74</v>
      </c>
      <c r="H121" s="3">
        <v>6.2</v>
      </c>
      <c r="I121" s="3">
        <v>458.8</v>
      </c>
    </row>
    <row r="122" spans="1:9" x14ac:dyDescent="0.3">
      <c r="A122" t="s">
        <v>159</v>
      </c>
      <c r="B122" s="2">
        <v>46150</v>
      </c>
      <c r="C122" s="2" t="str">
        <f t="shared" si="1"/>
        <v>May</v>
      </c>
      <c r="D122" t="s">
        <v>16</v>
      </c>
      <c r="E122" t="s">
        <v>17</v>
      </c>
      <c r="F122" t="s">
        <v>11</v>
      </c>
      <c r="G122">
        <v>72</v>
      </c>
      <c r="H122" s="3">
        <v>25.73</v>
      </c>
      <c r="I122" s="3">
        <v>1852.56</v>
      </c>
    </row>
    <row r="123" spans="1:9" x14ac:dyDescent="0.3">
      <c r="A123" t="s">
        <v>160</v>
      </c>
      <c r="B123" s="2">
        <v>46151</v>
      </c>
      <c r="C123" s="2" t="str">
        <f t="shared" si="1"/>
        <v>May</v>
      </c>
      <c r="D123" t="s">
        <v>27</v>
      </c>
      <c r="E123" t="s">
        <v>28</v>
      </c>
      <c r="F123" t="s">
        <v>21</v>
      </c>
      <c r="G123">
        <v>52</v>
      </c>
      <c r="H123" s="3">
        <v>6.15</v>
      </c>
      <c r="I123" s="3">
        <v>319.8</v>
      </c>
    </row>
    <row r="124" spans="1:9" x14ac:dyDescent="0.3">
      <c r="A124" t="s">
        <v>161</v>
      </c>
      <c r="B124" s="2">
        <v>46152</v>
      </c>
      <c r="C124" s="2" t="str">
        <f t="shared" si="1"/>
        <v>May</v>
      </c>
      <c r="D124" t="s">
        <v>53</v>
      </c>
      <c r="E124" t="s">
        <v>20</v>
      </c>
      <c r="F124" t="s">
        <v>11</v>
      </c>
      <c r="G124">
        <v>43</v>
      </c>
      <c r="H124" s="3">
        <v>12.33</v>
      </c>
      <c r="I124" s="3">
        <v>530.19000000000005</v>
      </c>
    </row>
    <row r="125" spans="1:9" x14ac:dyDescent="0.3">
      <c r="A125" t="s">
        <v>162</v>
      </c>
      <c r="B125" s="2">
        <v>46153</v>
      </c>
      <c r="C125" s="2" t="str">
        <f t="shared" si="1"/>
        <v>May</v>
      </c>
      <c r="D125" t="s">
        <v>55</v>
      </c>
      <c r="E125" t="s">
        <v>36</v>
      </c>
      <c r="F125" t="s">
        <v>21</v>
      </c>
      <c r="G125">
        <v>85</v>
      </c>
      <c r="H125" s="3">
        <v>10.29</v>
      </c>
      <c r="I125" s="3">
        <v>874.65</v>
      </c>
    </row>
    <row r="126" spans="1:9" x14ac:dyDescent="0.3">
      <c r="A126" t="s">
        <v>163</v>
      </c>
      <c r="B126" s="2">
        <v>46154</v>
      </c>
      <c r="C126" s="2" t="str">
        <f t="shared" si="1"/>
        <v>May</v>
      </c>
      <c r="D126" t="s">
        <v>9</v>
      </c>
      <c r="E126" t="s">
        <v>10</v>
      </c>
      <c r="F126" t="s">
        <v>11</v>
      </c>
      <c r="G126">
        <v>79</v>
      </c>
      <c r="H126" s="3">
        <v>19.2</v>
      </c>
      <c r="I126" s="3">
        <v>1516.8</v>
      </c>
    </row>
    <row r="127" spans="1:9" x14ac:dyDescent="0.3">
      <c r="A127" t="s">
        <v>164</v>
      </c>
      <c r="B127" s="2">
        <v>46155</v>
      </c>
      <c r="C127" s="2" t="str">
        <f t="shared" si="1"/>
        <v>May</v>
      </c>
      <c r="D127" t="s">
        <v>27</v>
      </c>
      <c r="E127" t="s">
        <v>28</v>
      </c>
      <c r="F127" t="s">
        <v>21</v>
      </c>
      <c r="G127">
        <v>38</v>
      </c>
      <c r="H127" s="3">
        <v>6.25</v>
      </c>
      <c r="I127" s="3">
        <v>237.5</v>
      </c>
    </row>
    <row r="128" spans="1:9" x14ac:dyDescent="0.3">
      <c r="A128" t="s">
        <v>165</v>
      </c>
      <c r="B128" s="2">
        <v>46156</v>
      </c>
      <c r="C128" s="2" t="str">
        <f t="shared" si="1"/>
        <v>May</v>
      </c>
      <c r="D128" t="s">
        <v>70</v>
      </c>
      <c r="E128" t="s">
        <v>17</v>
      </c>
      <c r="F128" t="s">
        <v>21</v>
      </c>
      <c r="G128">
        <v>162</v>
      </c>
      <c r="H128" s="3">
        <v>16.88</v>
      </c>
      <c r="I128" s="3">
        <v>2734.56</v>
      </c>
    </row>
    <row r="129" spans="1:9" x14ac:dyDescent="0.3">
      <c r="A129" t="s">
        <v>166</v>
      </c>
      <c r="B129" s="2">
        <v>46157</v>
      </c>
      <c r="C129" s="2" t="str">
        <f t="shared" si="1"/>
        <v>May</v>
      </c>
      <c r="D129" t="s">
        <v>44</v>
      </c>
      <c r="E129" t="s">
        <v>14</v>
      </c>
      <c r="F129" t="s">
        <v>21</v>
      </c>
      <c r="G129">
        <v>83</v>
      </c>
      <c r="H129" s="3">
        <v>8.0500000000000007</v>
      </c>
      <c r="I129" s="3">
        <v>668.15</v>
      </c>
    </row>
    <row r="130" spans="1:9" x14ac:dyDescent="0.3">
      <c r="A130" t="s">
        <v>167</v>
      </c>
      <c r="B130" s="2">
        <v>46158</v>
      </c>
      <c r="C130" s="2" t="str">
        <f t="shared" si="1"/>
        <v>May</v>
      </c>
      <c r="D130" t="s">
        <v>55</v>
      </c>
      <c r="E130" t="s">
        <v>36</v>
      </c>
      <c r="F130" t="s">
        <v>21</v>
      </c>
      <c r="G130">
        <v>119</v>
      </c>
      <c r="H130" s="3">
        <v>9.91</v>
      </c>
      <c r="I130" s="3">
        <v>1179.29</v>
      </c>
    </row>
    <row r="131" spans="1:9" x14ac:dyDescent="0.3">
      <c r="A131" t="s">
        <v>168</v>
      </c>
      <c r="B131" s="2">
        <v>46159</v>
      </c>
      <c r="C131" s="2" t="str">
        <f t="shared" ref="C131:C194" si="2">TEXT(B131,"mmm")</f>
        <v>May</v>
      </c>
      <c r="D131" t="s">
        <v>9</v>
      </c>
      <c r="E131" t="s">
        <v>10</v>
      </c>
      <c r="F131" t="s">
        <v>11</v>
      </c>
      <c r="G131">
        <v>134</v>
      </c>
      <c r="H131" s="3">
        <v>19.21</v>
      </c>
      <c r="I131" s="3">
        <v>2574.14</v>
      </c>
    </row>
    <row r="132" spans="1:9" x14ac:dyDescent="0.3">
      <c r="A132" t="s">
        <v>169</v>
      </c>
      <c r="B132" s="2">
        <v>46160</v>
      </c>
      <c r="C132" s="2" t="str">
        <f t="shared" si="2"/>
        <v>May</v>
      </c>
      <c r="D132" t="s">
        <v>82</v>
      </c>
      <c r="E132" t="s">
        <v>28</v>
      </c>
      <c r="F132" t="s">
        <v>11</v>
      </c>
      <c r="G132">
        <v>126</v>
      </c>
      <c r="H132" s="3">
        <v>14.04</v>
      </c>
      <c r="I132" s="3">
        <v>1769.04</v>
      </c>
    </row>
    <row r="133" spans="1:9" x14ac:dyDescent="0.3">
      <c r="A133" t="s">
        <v>170</v>
      </c>
      <c r="B133" s="2">
        <v>46161</v>
      </c>
      <c r="C133" s="2" t="str">
        <f t="shared" si="2"/>
        <v>May</v>
      </c>
      <c r="D133" t="s">
        <v>82</v>
      </c>
      <c r="E133" t="s">
        <v>28</v>
      </c>
      <c r="F133" t="s">
        <v>11</v>
      </c>
      <c r="G133">
        <v>110</v>
      </c>
      <c r="H133" s="3">
        <v>13.53</v>
      </c>
      <c r="I133" s="3">
        <v>1488.3</v>
      </c>
    </row>
    <row r="134" spans="1:9" x14ac:dyDescent="0.3">
      <c r="A134" t="s">
        <v>171</v>
      </c>
      <c r="B134" s="2">
        <v>46162</v>
      </c>
      <c r="C134" s="2" t="str">
        <f t="shared" si="2"/>
        <v>May</v>
      </c>
      <c r="D134" t="s">
        <v>157</v>
      </c>
      <c r="E134" t="s">
        <v>64</v>
      </c>
      <c r="F134" t="s">
        <v>21</v>
      </c>
      <c r="G134">
        <v>127</v>
      </c>
      <c r="H134" s="3">
        <v>7.33</v>
      </c>
      <c r="I134" s="3">
        <v>930.91</v>
      </c>
    </row>
    <row r="135" spans="1:9" x14ac:dyDescent="0.3">
      <c r="A135" t="s">
        <v>172</v>
      </c>
      <c r="B135" s="2">
        <v>46163</v>
      </c>
      <c r="C135" s="2" t="str">
        <f t="shared" si="2"/>
        <v>May</v>
      </c>
      <c r="D135" t="s">
        <v>23</v>
      </c>
      <c r="E135" t="s">
        <v>24</v>
      </c>
      <c r="F135" t="s">
        <v>11</v>
      </c>
      <c r="G135">
        <v>112</v>
      </c>
      <c r="H135" s="3">
        <v>16.82</v>
      </c>
      <c r="I135" s="3">
        <v>1883.84</v>
      </c>
    </row>
    <row r="136" spans="1:9" x14ac:dyDescent="0.3">
      <c r="A136" t="s">
        <v>173</v>
      </c>
      <c r="B136" s="2">
        <v>46164</v>
      </c>
      <c r="C136" s="2" t="str">
        <f t="shared" si="2"/>
        <v>May</v>
      </c>
      <c r="D136" t="s">
        <v>19</v>
      </c>
      <c r="E136" t="s">
        <v>20</v>
      </c>
      <c r="F136" t="s">
        <v>21</v>
      </c>
      <c r="G136">
        <v>74</v>
      </c>
      <c r="H136" s="3">
        <v>4.9400000000000004</v>
      </c>
      <c r="I136" s="3">
        <v>365.56</v>
      </c>
    </row>
    <row r="137" spans="1:9" x14ac:dyDescent="0.3">
      <c r="A137" t="s">
        <v>174</v>
      </c>
      <c r="B137" s="2">
        <v>46165</v>
      </c>
      <c r="C137" s="2" t="str">
        <f t="shared" si="2"/>
        <v>May</v>
      </c>
      <c r="D137" t="s">
        <v>57</v>
      </c>
      <c r="E137" t="s">
        <v>24</v>
      </c>
      <c r="F137" t="s">
        <v>21</v>
      </c>
      <c r="G137">
        <v>117</v>
      </c>
      <c r="H137" s="3">
        <v>9.32</v>
      </c>
      <c r="I137" s="3">
        <v>1090.44</v>
      </c>
    </row>
    <row r="138" spans="1:9" x14ac:dyDescent="0.3">
      <c r="A138" t="s">
        <v>175</v>
      </c>
      <c r="B138" s="2">
        <v>46166</v>
      </c>
      <c r="C138" s="2" t="str">
        <f t="shared" si="2"/>
        <v>May</v>
      </c>
      <c r="D138" t="s">
        <v>38</v>
      </c>
      <c r="E138" t="s">
        <v>39</v>
      </c>
      <c r="F138" t="s">
        <v>21</v>
      </c>
      <c r="G138">
        <v>94</v>
      </c>
      <c r="H138" s="3">
        <v>6.23</v>
      </c>
      <c r="I138" s="3">
        <v>585.62</v>
      </c>
    </row>
    <row r="139" spans="1:9" x14ac:dyDescent="0.3">
      <c r="A139" t="s">
        <v>176</v>
      </c>
      <c r="B139" s="2">
        <v>46167</v>
      </c>
      <c r="C139" s="2" t="str">
        <f t="shared" si="2"/>
        <v>May</v>
      </c>
      <c r="D139" t="s">
        <v>59</v>
      </c>
      <c r="E139" t="s">
        <v>39</v>
      </c>
      <c r="F139" t="s">
        <v>11</v>
      </c>
      <c r="G139">
        <v>144</v>
      </c>
      <c r="H139" s="3">
        <v>13.87</v>
      </c>
      <c r="I139" s="3">
        <v>1997.28</v>
      </c>
    </row>
    <row r="140" spans="1:9" x14ac:dyDescent="0.3">
      <c r="A140" t="s">
        <v>177</v>
      </c>
      <c r="B140" s="2">
        <v>46168</v>
      </c>
      <c r="C140" s="2" t="str">
        <f t="shared" si="2"/>
        <v>May</v>
      </c>
      <c r="D140" t="s">
        <v>30</v>
      </c>
      <c r="E140" t="s">
        <v>10</v>
      </c>
      <c r="F140" t="s">
        <v>21</v>
      </c>
      <c r="G140">
        <v>125</v>
      </c>
      <c r="H140" s="3">
        <v>10.57</v>
      </c>
      <c r="I140" s="3">
        <v>1321.25</v>
      </c>
    </row>
    <row r="141" spans="1:9" x14ac:dyDescent="0.3">
      <c r="A141" t="s">
        <v>178</v>
      </c>
      <c r="B141" s="2">
        <v>46169</v>
      </c>
      <c r="C141" s="2" t="str">
        <f t="shared" si="2"/>
        <v>May</v>
      </c>
      <c r="D141" t="s">
        <v>23</v>
      </c>
      <c r="E141" t="s">
        <v>24</v>
      </c>
      <c r="F141" t="s">
        <v>11</v>
      </c>
      <c r="G141">
        <v>79</v>
      </c>
      <c r="H141" s="3">
        <v>16.36</v>
      </c>
      <c r="I141" s="3">
        <v>1292.44</v>
      </c>
    </row>
    <row r="142" spans="1:9" x14ac:dyDescent="0.3">
      <c r="A142" t="s">
        <v>179</v>
      </c>
      <c r="B142" s="2">
        <v>46170</v>
      </c>
      <c r="C142" s="2" t="str">
        <f t="shared" si="2"/>
        <v>May</v>
      </c>
      <c r="D142" t="s">
        <v>13</v>
      </c>
      <c r="E142" t="s">
        <v>14</v>
      </c>
      <c r="F142" t="s">
        <v>11</v>
      </c>
      <c r="G142">
        <v>127</v>
      </c>
      <c r="H142" s="3">
        <v>14.86</v>
      </c>
      <c r="I142" s="3">
        <v>1887.22</v>
      </c>
    </row>
    <row r="143" spans="1:9" x14ac:dyDescent="0.3">
      <c r="A143" t="s">
        <v>180</v>
      </c>
      <c r="B143" s="2">
        <v>46171</v>
      </c>
      <c r="C143" s="2" t="str">
        <f t="shared" si="2"/>
        <v>May</v>
      </c>
      <c r="D143" t="s">
        <v>44</v>
      </c>
      <c r="E143" t="s">
        <v>14</v>
      </c>
      <c r="F143" t="s">
        <v>21</v>
      </c>
      <c r="G143">
        <v>52</v>
      </c>
      <c r="H143" s="3">
        <v>7.63</v>
      </c>
      <c r="I143" s="3">
        <v>396.76</v>
      </c>
    </row>
    <row r="144" spans="1:9" x14ac:dyDescent="0.3">
      <c r="A144" t="s">
        <v>181</v>
      </c>
      <c r="B144" s="2">
        <v>46172</v>
      </c>
      <c r="C144" s="2" t="str">
        <f t="shared" si="2"/>
        <v>May</v>
      </c>
      <c r="D144" t="s">
        <v>59</v>
      </c>
      <c r="E144" t="s">
        <v>39</v>
      </c>
      <c r="F144" t="s">
        <v>11</v>
      </c>
      <c r="G144">
        <v>118</v>
      </c>
      <c r="H144" s="3">
        <v>13.79</v>
      </c>
      <c r="I144" s="3">
        <v>1627.22</v>
      </c>
    </row>
    <row r="145" spans="1:9" x14ac:dyDescent="0.3">
      <c r="A145" t="s">
        <v>182</v>
      </c>
      <c r="B145" s="2">
        <v>46173</v>
      </c>
      <c r="C145" s="2" t="str">
        <f t="shared" si="2"/>
        <v>May</v>
      </c>
      <c r="D145" t="s">
        <v>38</v>
      </c>
      <c r="E145" t="s">
        <v>39</v>
      </c>
      <c r="F145" t="s">
        <v>21</v>
      </c>
      <c r="G145">
        <v>91</v>
      </c>
      <c r="H145" s="3">
        <v>6.39</v>
      </c>
      <c r="I145" s="3">
        <v>581.49</v>
      </c>
    </row>
    <row r="146" spans="1:9" x14ac:dyDescent="0.3">
      <c r="A146" t="s">
        <v>183</v>
      </c>
      <c r="B146" s="2">
        <v>46174</v>
      </c>
      <c r="C146" s="2" t="str">
        <f t="shared" si="2"/>
        <v>Jun</v>
      </c>
      <c r="D146" t="s">
        <v>44</v>
      </c>
      <c r="E146" t="s">
        <v>14</v>
      </c>
      <c r="F146" t="s">
        <v>21</v>
      </c>
      <c r="G146">
        <v>133</v>
      </c>
      <c r="H146" s="3">
        <v>8.32</v>
      </c>
      <c r="I146" s="3">
        <v>1106.56</v>
      </c>
    </row>
    <row r="147" spans="1:9" x14ac:dyDescent="0.3">
      <c r="A147" t="s">
        <v>184</v>
      </c>
      <c r="B147" s="2">
        <v>46175</v>
      </c>
      <c r="C147" s="2" t="str">
        <f t="shared" si="2"/>
        <v>Jun</v>
      </c>
      <c r="D147" t="s">
        <v>157</v>
      </c>
      <c r="E147" t="s">
        <v>64</v>
      </c>
      <c r="F147" t="s">
        <v>21</v>
      </c>
      <c r="G147">
        <v>67</v>
      </c>
      <c r="H147" s="3">
        <v>6.78</v>
      </c>
      <c r="I147" s="3">
        <v>454.26</v>
      </c>
    </row>
    <row r="148" spans="1:9" x14ac:dyDescent="0.3">
      <c r="A148" t="s">
        <v>185</v>
      </c>
      <c r="B148" s="2">
        <v>46176</v>
      </c>
      <c r="C148" s="2" t="str">
        <f t="shared" si="2"/>
        <v>Jun</v>
      </c>
      <c r="D148" t="s">
        <v>19</v>
      </c>
      <c r="E148" t="s">
        <v>20</v>
      </c>
      <c r="F148" t="s">
        <v>21</v>
      </c>
      <c r="G148">
        <v>158</v>
      </c>
      <c r="H148" s="3">
        <v>5.24</v>
      </c>
      <c r="I148" s="3">
        <v>827.92</v>
      </c>
    </row>
    <row r="149" spans="1:9" x14ac:dyDescent="0.3">
      <c r="A149" t="s">
        <v>186</v>
      </c>
      <c r="B149" s="2">
        <v>46177</v>
      </c>
      <c r="C149" s="2" t="str">
        <f t="shared" si="2"/>
        <v>Jun</v>
      </c>
      <c r="D149" t="s">
        <v>9</v>
      </c>
      <c r="E149" t="s">
        <v>10</v>
      </c>
      <c r="F149" t="s">
        <v>11</v>
      </c>
      <c r="G149">
        <v>141</v>
      </c>
      <c r="H149" s="3">
        <v>18.09</v>
      </c>
      <c r="I149" s="3">
        <v>2550.69</v>
      </c>
    </row>
    <row r="150" spans="1:9" x14ac:dyDescent="0.3">
      <c r="A150" t="s">
        <v>187</v>
      </c>
      <c r="B150" s="2">
        <v>46178</v>
      </c>
      <c r="C150" s="2" t="str">
        <f t="shared" si="2"/>
        <v>Jun</v>
      </c>
      <c r="D150" t="s">
        <v>70</v>
      </c>
      <c r="E150" t="s">
        <v>17</v>
      </c>
      <c r="F150" t="s">
        <v>21</v>
      </c>
      <c r="G150">
        <v>97</v>
      </c>
      <c r="H150" s="3">
        <v>15.3</v>
      </c>
      <c r="I150" s="3">
        <v>1484.1</v>
      </c>
    </row>
    <row r="151" spans="1:9" x14ac:dyDescent="0.3">
      <c r="A151" t="s">
        <v>188</v>
      </c>
      <c r="B151" s="2">
        <v>46179</v>
      </c>
      <c r="C151" s="2" t="str">
        <f t="shared" si="2"/>
        <v>Jun</v>
      </c>
      <c r="D151" t="s">
        <v>9</v>
      </c>
      <c r="E151" t="s">
        <v>10</v>
      </c>
      <c r="F151" t="s">
        <v>11</v>
      </c>
      <c r="G151">
        <v>96</v>
      </c>
      <c r="H151" s="3">
        <v>17.41</v>
      </c>
      <c r="I151" s="3">
        <v>1671.36</v>
      </c>
    </row>
    <row r="152" spans="1:9" x14ac:dyDescent="0.3">
      <c r="A152" t="s">
        <v>189</v>
      </c>
      <c r="B152" s="2">
        <v>46180</v>
      </c>
      <c r="C152" s="2" t="str">
        <f t="shared" si="2"/>
        <v>Jun</v>
      </c>
      <c r="D152" t="s">
        <v>70</v>
      </c>
      <c r="E152" t="s">
        <v>17</v>
      </c>
      <c r="F152" t="s">
        <v>21</v>
      </c>
      <c r="G152">
        <v>111</v>
      </c>
      <c r="H152" s="3">
        <v>16.440000000000001</v>
      </c>
      <c r="I152" s="3">
        <v>1824.84</v>
      </c>
    </row>
    <row r="153" spans="1:9" x14ac:dyDescent="0.3">
      <c r="A153" t="s">
        <v>190</v>
      </c>
      <c r="B153" s="2">
        <v>46181</v>
      </c>
      <c r="C153" s="2" t="str">
        <f t="shared" si="2"/>
        <v>Jun</v>
      </c>
      <c r="D153" t="s">
        <v>38</v>
      </c>
      <c r="E153" t="s">
        <v>39</v>
      </c>
      <c r="F153" t="s">
        <v>21</v>
      </c>
      <c r="G153">
        <v>118</v>
      </c>
      <c r="H153" s="3">
        <v>6.34</v>
      </c>
      <c r="I153" s="3">
        <v>748.12</v>
      </c>
    </row>
    <row r="154" spans="1:9" x14ac:dyDescent="0.3">
      <c r="A154" t="s">
        <v>191</v>
      </c>
      <c r="B154" s="2">
        <v>46182</v>
      </c>
      <c r="C154" s="2" t="str">
        <f t="shared" si="2"/>
        <v>Jun</v>
      </c>
      <c r="D154" t="s">
        <v>63</v>
      </c>
      <c r="E154" t="s">
        <v>64</v>
      </c>
      <c r="F154" t="s">
        <v>11</v>
      </c>
      <c r="G154">
        <v>149</v>
      </c>
      <c r="H154" s="3">
        <v>23.49</v>
      </c>
      <c r="I154" s="3">
        <v>3500.01</v>
      </c>
    </row>
    <row r="155" spans="1:9" x14ac:dyDescent="0.3">
      <c r="A155" t="s">
        <v>192</v>
      </c>
      <c r="B155" s="2">
        <v>46183</v>
      </c>
      <c r="C155" s="2" t="str">
        <f t="shared" si="2"/>
        <v>Jun</v>
      </c>
      <c r="D155" t="s">
        <v>30</v>
      </c>
      <c r="E155" t="s">
        <v>10</v>
      </c>
      <c r="F155" t="s">
        <v>21</v>
      </c>
      <c r="G155">
        <v>137</v>
      </c>
      <c r="H155" s="3">
        <v>11.68</v>
      </c>
      <c r="I155" s="3">
        <v>1600.16</v>
      </c>
    </row>
    <row r="156" spans="1:9" x14ac:dyDescent="0.3">
      <c r="A156" t="s">
        <v>193</v>
      </c>
      <c r="B156" s="2">
        <v>46184</v>
      </c>
      <c r="C156" s="2" t="str">
        <f t="shared" si="2"/>
        <v>Jun</v>
      </c>
      <c r="D156" t="s">
        <v>27</v>
      </c>
      <c r="E156" t="s">
        <v>28</v>
      </c>
      <c r="F156" t="s">
        <v>21</v>
      </c>
      <c r="G156">
        <v>138</v>
      </c>
      <c r="H156" s="3">
        <v>5.89</v>
      </c>
      <c r="I156" s="3">
        <v>812.82</v>
      </c>
    </row>
    <row r="157" spans="1:9" x14ac:dyDescent="0.3">
      <c r="A157" t="s">
        <v>194</v>
      </c>
      <c r="B157" s="2">
        <v>46185</v>
      </c>
      <c r="C157" s="2" t="str">
        <f t="shared" si="2"/>
        <v>Jun</v>
      </c>
      <c r="D157" t="s">
        <v>27</v>
      </c>
      <c r="E157" t="s">
        <v>28</v>
      </c>
      <c r="F157" t="s">
        <v>21</v>
      </c>
      <c r="G157">
        <v>140</v>
      </c>
      <c r="H157" s="3">
        <v>6.31</v>
      </c>
      <c r="I157" s="3">
        <v>883.4</v>
      </c>
    </row>
    <row r="158" spans="1:9" x14ac:dyDescent="0.3">
      <c r="A158" t="s">
        <v>195</v>
      </c>
      <c r="B158" s="2">
        <v>46186</v>
      </c>
      <c r="C158" s="2" t="str">
        <f t="shared" si="2"/>
        <v>Jun</v>
      </c>
      <c r="D158" t="s">
        <v>13</v>
      </c>
      <c r="E158" t="s">
        <v>14</v>
      </c>
      <c r="F158" t="s">
        <v>11</v>
      </c>
      <c r="G158">
        <v>71</v>
      </c>
      <c r="H158" s="3">
        <v>15.11</v>
      </c>
      <c r="I158" s="3">
        <v>1072.81</v>
      </c>
    </row>
    <row r="159" spans="1:9" x14ac:dyDescent="0.3">
      <c r="A159" t="s">
        <v>196</v>
      </c>
      <c r="B159" s="2">
        <v>46187</v>
      </c>
      <c r="C159" s="2" t="str">
        <f t="shared" si="2"/>
        <v>Jun</v>
      </c>
      <c r="D159" t="s">
        <v>82</v>
      </c>
      <c r="E159" t="s">
        <v>28</v>
      </c>
      <c r="F159" t="s">
        <v>11</v>
      </c>
      <c r="G159">
        <v>66</v>
      </c>
      <c r="H159" s="3">
        <v>13.79</v>
      </c>
      <c r="I159" s="3">
        <v>910.14</v>
      </c>
    </row>
    <row r="160" spans="1:9" x14ac:dyDescent="0.3">
      <c r="A160" t="s">
        <v>197</v>
      </c>
      <c r="B160" s="2">
        <v>46188</v>
      </c>
      <c r="C160" s="2" t="str">
        <f t="shared" si="2"/>
        <v>Jun</v>
      </c>
      <c r="D160" t="s">
        <v>16</v>
      </c>
      <c r="E160" t="s">
        <v>17</v>
      </c>
      <c r="F160" t="s">
        <v>11</v>
      </c>
      <c r="G160">
        <v>44</v>
      </c>
      <c r="H160" s="3">
        <v>23.23</v>
      </c>
      <c r="I160" s="3">
        <v>1022.12</v>
      </c>
    </row>
    <row r="161" spans="1:9" x14ac:dyDescent="0.3">
      <c r="A161" t="s">
        <v>198</v>
      </c>
      <c r="B161" s="2">
        <v>46189</v>
      </c>
      <c r="C161" s="2" t="str">
        <f t="shared" si="2"/>
        <v>Jun</v>
      </c>
      <c r="D161" t="s">
        <v>157</v>
      </c>
      <c r="E161" t="s">
        <v>64</v>
      </c>
      <c r="F161" t="s">
        <v>21</v>
      </c>
      <c r="G161">
        <v>129</v>
      </c>
      <c r="H161" s="3">
        <v>6.79</v>
      </c>
      <c r="I161" s="3">
        <v>875.91</v>
      </c>
    </row>
    <row r="162" spans="1:9" x14ac:dyDescent="0.3">
      <c r="A162" t="s">
        <v>199</v>
      </c>
      <c r="B162" s="2">
        <v>46190</v>
      </c>
      <c r="C162" s="2" t="str">
        <f t="shared" si="2"/>
        <v>Jun</v>
      </c>
      <c r="D162" t="s">
        <v>41</v>
      </c>
      <c r="E162" t="s">
        <v>20</v>
      </c>
      <c r="F162" t="s">
        <v>21</v>
      </c>
      <c r="G162">
        <v>91</v>
      </c>
      <c r="H162" s="3">
        <v>7.02</v>
      </c>
      <c r="I162" s="3">
        <v>638.82000000000005</v>
      </c>
    </row>
    <row r="163" spans="1:9" x14ac:dyDescent="0.3">
      <c r="A163" t="s">
        <v>200</v>
      </c>
      <c r="B163" s="2">
        <v>46191</v>
      </c>
      <c r="C163" s="2" t="str">
        <f t="shared" si="2"/>
        <v>Jun</v>
      </c>
      <c r="D163" t="s">
        <v>38</v>
      </c>
      <c r="E163" t="s">
        <v>39</v>
      </c>
      <c r="F163" t="s">
        <v>21</v>
      </c>
      <c r="G163">
        <v>91</v>
      </c>
      <c r="H163" s="3">
        <v>5.75</v>
      </c>
      <c r="I163" s="3">
        <v>523.25</v>
      </c>
    </row>
    <row r="164" spans="1:9" x14ac:dyDescent="0.3">
      <c r="A164" t="s">
        <v>201</v>
      </c>
      <c r="B164" s="2">
        <v>46192</v>
      </c>
      <c r="C164" s="2" t="str">
        <f t="shared" si="2"/>
        <v>Jun</v>
      </c>
      <c r="D164" t="s">
        <v>63</v>
      </c>
      <c r="E164" t="s">
        <v>64</v>
      </c>
      <c r="F164" t="s">
        <v>11</v>
      </c>
      <c r="G164">
        <v>86</v>
      </c>
      <c r="H164" s="3">
        <v>23.49</v>
      </c>
      <c r="I164" s="3">
        <v>2020.14</v>
      </c>
    </row>
    <row r="165" spans="1:9" x14ac:dyDescent="0.3">
      <c r="A165" t="s">
        <v>202</v>
      </c>
      <c r="B165" s="2">
        <v>46193</v>
      </c>
      <c r="C165" s="2" t="str">
        <f t="shared" si="2"/>
        <v>Jun</v>
      </c>
      <c r="D165" t="s">
        <v>19</v>
      </c>
      <c r="E165" t="s">
        <v>20</v>
      </c>
      <c r="F165" t="s">
        <v>21</v>
      </c>
      <c r="G165">
        <v>152</v>
      </c>
      <c r="H165" s="3">
        <v>5.32</v>
      </c>
      <c r="I165" s="3">
        <v>808.64</v>
      </c>
    </row>
    <row r="166" spans="1:9" x14ac:dyDescent="0.3">
      <c r="A166" t="s">
        <v>203</v>
      </c>
      <c r="B166" s="2">
        <v>46194</v>
      </c>
      <c r="C166" s="2" t="str">
        <f t="shared" si="2"/>
        <v>Jun</v>
      </c>
      <c r="D166" t="s">
        <v>157</v>
      </c>
      <c r="E166" t="s">
        <v>64</v>
      </c>
      <c r="F166" t="s">
        <v>21</v>
      </c>
      <c r="G166">
        <v>100</v>
      </c>
      <c r="H166" s="3">
        <v>6.66</v>
      </c>
      <c r="I166" s="3">
        <v>666</v>
      </c>
    </row>
    <row r="167" spans="1:9" x14ac:dyDescent="0.3">
      <c r="A167" t="s">
        <v>204</v>
      </c>
      <c r="B167" s="2">
        <v>46195</v>
      </c>
      <c r="C167" s="2" t="str">
        <f t="shared" si="2"/>
        <v>Jun</v>
      </c>
      <c r="D167" t="s">
        <v>82</v>
      </c>
      <c r="E167" t="s">
        <v>28</v>
      </c>
      <c r="F167" t="s">
        <v>11</v>
      </c>
      <c r="G167">
        <v>138</v>
      </c>
      <c r="H167" s="3">
        <v>14.01</v>
      </c>
      <c r="I167" s="3">
        <v>1933.38</v>
      </c>
    </row>
    <row r="168" spans="1:9" x14ac:dyDescent="0.3">
      <c r="A168" t="s">
        <v>205</v>
      </c>
      <c r="B168" s="2">
        <v>46196</v>
      </c>
      <c r="C168" s="2" t="str">
        <f t="shared" si="2"/>
        <v>Jun</v>
      </c>
      <c r="D168" t="s">
        <v>63</v>
      </c>
      <c r="E168" t="s">
        <v>64</v>
      </c>
      <c r="F168" t="s">
        <v>11</v>
      </c>
      <c r="G168">
        <v>107</v>
      </c>
      <c r="H168" s="3">
        <v>23.04</v>
      </c>
      <c r="I168" s="3">
        <v>2465.2800000000002</v>
      </c>
    </row>
    <row r="169" spans="1:9" x14ac:dyDescent="0.3">
      <c r="A169" t="s">
        <v>206</v>
      </c>
      <c r="B169" s="2">
        <v>46197</v>
      </c>
      <c r="C169" s="2" t="str">
        <f t="shared" si="2"/>
        <v>Jun</v>
      </c>
      <c r="D169" t="s">
        <v>23</v>
      </c>
      <c r="E169" t="s">
        <v>24</v>
      </c>
      <c r="F169" t="s">
        <v>11</v>
      </c>
      <c r="G169">
        <v>158</v>
      </c>
      <c r="H169" s="3">
        <v>16.64</v>
      </c>
      <c r="I169" s="3">
        <v>2629.12</v>
      </c>
    </row>
    <row r="170" spans="1:9" x14ac:dyDescent="0.3">
      <c r="A170" t="s">
        <v>207</v>
      </c>
      <c r="B170" s="2">
        <v>46198</v>
      </c>
      <c r="C170" s="2" t="str">
        <f t="shared" si="2"/>
        <v>Jun</v>
      </c>
      <c r="D170" t="s">
        <v>27</v>
      </c>
      <c r="E170" t="s">
        <v>28</v>
      </c>
      <c r="F170" t="s">
        <v>21</v>
      </c>
      <c r="G170">
        <v>93</v>
      </c>
      <c r="H170" s="3">
        <v>6.08</v>
      </c>
      <c r="I170" s="3">
        <v>565.44000000000005</v>
      </c>
    </row>
    <row r="171" spans="1:9" x14ac:dyDescent="0.3">
      <c r="A171" t="s">
        <v>208</v>
      </c>
      <c r="B171" s="2">
        <v>46199</v>
      </c>
      <c r="C171" s="2" t="str">
        <f t="shared" si="2"/>
        <v>Jun</v>
      </c>
      <c r="D171" t="s">
        <v>55</v>
      </c>
      <c r="E171" t="s">
        <v>36</v>
      </c>
      <c r="F171" t="s">
        <v>21</v>
      </c>
      <c r="G171">
        <v>126</v>
      </c>
      <c r="H171" s="3">
        <v>10.38</v>
      </c>
      <c r="I171" s="3">
        <v>1307.8800000000001</v>
      </c>
    </row>
    <row r="172" spans="1:9" x14ac:dyDescent="0.3">
      <c r="A172" t="s">
        <v>209</v>
      </c>
      <c r="B172" s="2">
        <v>46200</v>
      </c>
      <c r="C172" s="2" t="str">
        <f t="shared" si="2"/>
        <v>Jun</v>
      </c>
      <c r="D172" t="s">
        <v>30</v>
      </c>
      <c r="E172" t="s">
        <v>10</v>
      </c>
      <c r="F172" t="s">
        <v>21</v>
      </c>
      <c r="G172">
        <v>150</v>
      </c>
      <c r="H172" s="3">
        <v>11.12</v>
      </c>
      <c r="I172" s="3">
        <v>1668</v>
      </c>
    </row>
    <row r="173" spans="1:9" x14ac:dyDescent="0.3">
      <c r="A173" t="s">
        <v>210</v>
      </c>
      <c r="B173" s="2">
        <v>46201</v>
      </c>
      <c r="C173" s="2" t="str">
        <f t="shared" si="2"/>
        <v>Jun</v>
      </c>
      <c r="D173" t="s">
        <v>23</v>
      </c>
      <c r="E173" t="s">
        <v>24</v>
      </c>
      <c r="F173" t="s">
        <v>11</v>
      </c>
      <c r="G173">
        <v>107</v>
      </c>
      <c r="H173" s="3">
        <v>16.21</v>
      </c>
      <c r="I173" s="3">
        <v>1734.47</v>
      </c>
    </row>
    <row r="174" spans="1:9" x14ac:dyDescent="0.3">
      <c r="A174" t="s">
        <v>211</v>
      </c>
      <c r="B174" s="2">
        <v>46202</v>
      </c>
      <c r="C174" s="2" t="str">
        <f t="shared" si="2"/>
        <v>Jun</v>
      </c>
      <c r="D174" t="s">
        <v>57</v>
      </c>
      <c r="E174" t="s">
        <v>24</v>
      </c>
      <c r="F174" t="s">
        <v>21</v>
      </c>
      <c r="G174">
        <v>112</v>
      </c>
      <c r="H174" s="3">
        <v>9.33</v>
      </c>
      <c r="I174" s="3">
        <v>1044.96</v>
      </c>
    </row>
    <row r="175" spans="1:9" x14ac:dyDescent="0.3">
      <c r="A175" t="s">
        <v>212</v>
      </c>
      <c r="B175" s="2">
        <v>46203</v>
      </c>
      <c r="C175" s="2" t="str">
        <f t="shared" si="2"/>
        <v>Jun</v>
      </c>
      <c r="D175" t="s">
        <v>63</v>
      </c>
      <c r="E175" t="s">
        <v>64</v>
      </c>
      <c r="F175" t="s">
        <v>11</v>
      </c>
      <c r="G175">
        <v>51</v>
      </c>
      <c r="H175" s="3">
        <v>23.38</v>
      </c>
      <c r="I175" s="3">
        <v>1192.3800000000001</v>
      </c>
    </row>
    <row r="176" spans="1:9" x14ac:dyDescent="0.3">
      <c r="A176" t="s">
        <v>213</v>
      </c>
      <c r="B176" s="2">
        <v>46204</v>
      </c>
      <c r="C176" s="2" t="str">
        <f t="shared" si="2"/>
        <v>Jul</v>
      </c>
      <c r="D176" t="s">
        <v>53</v>
      </c>
      <c r="E176" t="s">
        <v>20</v>
      </c>
      <c r="F176" t="s">
        <v>11</v>
      </c>
      <c r="G176">
        <v>69</v>
      </c>
      <c r="H176" s="3">
        <v>11.99</v>
      </c>
      <c r="I176" s="3">
        <v>827.31</v>
      </c>
    </row>
    <row r="177" spans="1:9" x14ac:dyDescent="0.3">
      <c r="A177" t="s">
        <v>214</v>
      </c>
      <c r="B177" s="2">
        <v>46205</v>
      </c>
      <c r="C177" s="2" t="str">
        <f t="shared" si="2"/>
        <v>Jul</v>
      </c>
      <c r="D177" t="s">
        <v>38</v>
      </c>
      <c r="E177" t="s">
        <v>39</v>
      </c>
      <c r="F177" t="s">
        <v>21</v>
      </c>
      <c r="G177">
        <v>78</v>
      </c>
      <c r="H177" s="3">
        <v>5.96</v>
      </c>
      <c r="I177" s="3">
        <v>464.88</v>
      </c>
    </row>
    <row r="178" spans="1:9" x14ac:dyDescent="0.3">
      <c r="A178" t="s">
        <v>215</v>
      </c>
      <c r="B178" s="2">
        <v>46206</v>
      </c>
      <c r="C178" s="2" t="str">
        <f t="shared" si="2"/>
        <v>Jul</v>
      </c>
      <c r="D178" t="s">
        <v>27</v>
      </c>
      <c r="E178" t="s">
        <v>28</v>
      </c>
      <c r="F178" t="s">
        <v>21</v>
      </c>
      <c r="G178">
        <v>138</v>
      </c>
      <c r="H178" s="3">
        <v>6.44</v>
      </c>
      <c r="I178" s="3">
        <v>888.72</v>
      </c>
    </row>
    <row r="179" spans="1:9" x14ac:dyDescent="0.3">
      <c r="A179" t="s">
        <v>216</v>
      </c>
      <c r="B179" s="2">
        <v>46207</v>
      </c>
      <c r="C179" s="2" t="str">
        <f t="shared" si="2"/>
        <v>Jul</v>
      </c>
      <c r="D179" t="s">
        <v>27</v>
      </c>
      <c r="E179" t="s">
        <v>28</v>
      </c>
      <c r="F179" t="s">
        <v>21</v>
      </c>
      <c r="G179">
        <v>149</v>
      </c>
      <c r="H179" s="3">
        <v>5.76</v>
      </c>
      <c r="I179" s="3">
        <v>858.24</v>
      </c>
    </row>
    <row r="180" spans="1:9" x14ac:dyDescent="0.3">
      <c r="A180" t="s">
        <v>217</v>
      </c>
      <c r="B180" s="2">
        <v>46208</v>
      </c>
      <c r="C180" s="2" t="str">
        <f t="shared" si="2"/>
        <v>Jul</v>
      </c>
      <c r="D180" t="s">
        <v>16</v>
      </c>
      <c r="E180" t="s">
        <v>17</v>
      </c>
      <c r="F180" t="s">
        <v>11</v>
      </c>
      <c r="G180">
        <v>39</v>
      </c>
      <c r="H180" s="3">
        <v>25.92</v>
      </c>
      <c r="I180" s="3">
        <v>1010.88</v>
      </c>
    </row>
    <row r="181" spans="1:9" x14ac:dyDescent="0.3">
      <c r="A181" t="s">
        <v>218</v>
      </c>
      <c r="B181" s="2">
        <v>46209</v>
      </c>
      <c r="C181" s="2" t="str">
        <f t="shared" si="2"/>
        <v>Jul</v>
      </c>
      <c r="D181" t="s">
        <v>13</v>
      </c>
      <c r="E181" t="s">
        <v>14</v>
      </c>
      <c r="F181" t="s">
        <v>11</v>
      </c>
      <c r="G181">
        <v>124</v>
      </c>
      <c r="H181" s="3">
        <v>14.38</v>
      </c>
      <c r="I181" s="3">
        <v>1783.12</v>
      </c>
    </row>
    <row r="182" spans="1:9" x14ac:dyDescent="0.3">
      <c r="A182" t="s">
        <v>219</v>
      </c>
      <c r="B182" s="2">
        <v>46210</v>
      </c>
      <c r="C182" s="2" t="str">
        <f t="shared" si="2"/>
        <v>Jul</v>
      </c>
      <c r="D182" t="s">
        <v>53</v>
      </c>
      <c r="E182" t="s">
        <v>20</v>
      </c>
      <c r="F182" t="s">
        <v>11</v>
      </c>
      <c r="G182">
        <v>138</v>
      </c>
      <c r="H182" s="3">
        <v>11.45</v>
      </c>
      <c r="I182" s="3">
        <v>1580.1</v>
      </c>
    </row>
    <row r="183" spans="1:9" x14ac:dyDescent="0.3">
      <c r="A183" t="s">
        <v>220</v>
      </c>
      <c r="B183" s="2">
        <v>46211</v>
      </c>
      <c r="C183" s="2" t="str">
        <f t="shared" si="2"/>
        <v>Jul</v>
      </c>
      <c r="D183" t="s">
        <v>44</v>
      </c>
      <c r="E183" t="s">
        <v>14</v>
      </c>
      <c r="F183" t="s">
        <v>21</v>
      </c>
      <c r="G183">
        <v>150</v>
      </c>
      <c r="H183" s="3">
        <v>7.62</v>
      </c>
      <c r="I183" s="3">
        <v>1143</v>
      </c>
    </row>
    <row r="184" spans="1:9" x14ac:dyDescent="0.3">
      <c r="A184" t="s">
        <v>221</v>
      </c>
      <c r="B184" s="2">
        <v>46212</v>
      </c>
      <c r="C184" s="2" t="str">
        <f t="shared" si="2"/>
        <v>Jul</v>
      </c>
      <c r="D184" t="s">
        <v>13</v>
      </c>
      <c r="E184" t="s">
        <v>14</v>
      </c>
      <c r="F184" t="s">
        <v>11</v>
      </c>
      <c r="G184">
        <v>50</v>
      </c>
      <c r="H184" s="3">
        <v>15.17</v>
      </c>
      <c r="I184" s="3">
        <v>758.5</v>
      </c>
    </row>
    <row r="185" spans="1:9" x14ac:dyDescent="0.3">
      <c r="A185" t="s">
        <v>222</v>
      </c>
      <c r="B185" s="2">
        <v>46213</v>
      </c>
      <c r="C185" s="2" t="str">
        <f t="shared" si="2"/>
        <v>Jul</v>
      </c>
      <c r="D185" t="s">
        <v>57</v>
      </c>
      <c r="E185" t="s">
        <v>24</v>
      </c>
      <c r="F185" t="s">
        <v>21</v>
      </c>
      <c r="G185">
        <v>62</v>
      </c>
      <c r="H185" s="3">
        <v>9.09</v>
      </c>
      <c r="I185" s="3">
        <v>563.58000000000004</v>
      </c>
    </row>
    <row r="186" spans="1:9" x14ac:dyDescent="0.3">
      <c r="A186" t="s">
        <v>223</v>
      </c>
      <c r="B186" s="2">
        <v>46214</v>
      </c>
      <c r="C186" s="2" t="str">
        <f t="shared" si="2"/>
        <v>Jul</v>
      </c>
      <c r="D186" t="s">
        <v>35</v>
      </c>
      <c r="E186" t="s">
        <v>36</v>
      </c>
      <c r="F186" t="s">
        <v>11</v>
      </c>
      <c r="G186">
        <v>56</v>
      </c>
      <c r="H186" s="3">
        <v>25.72</v>
      </c>
      <c r="I186" s="3">
        <v>1440.32</v>
      </c>
    </row>
    <row r="187" spans="1:9" x14ac:dyDescent="0.3">
      <c r="A187" t="s">
        <v>224</v>
      </c>
      <c r="B187" s="2">
        <v>46215</v>
      </c>
      <c r="C187" s="2" t="str">
        <f t="shared" si="2"/>
        <v>Jul</v>
      </c>
      <c r="D187" t="s">
        <v>9</v>
      </c>
      <c r="E187" t="s">
        <v>10</v>
      </c>
      <c r="F187" t="s">
        <v>11</v>
      </c>
      <c r="G187">
        <v>141</v>
      </c>
      <c r="H187" s="3">
        <v>19.02</v>
      </c>
      <c r="I187" s="3">
        <v>2681.82</v>
      </c>
    </row>
    <row r="188" spans="1:9" x14ac:dyDescent="0.3">
      <c r="A188" t="s">
        <v>225</v>
      </c>
      <c r="B188" s="2">
        <v>46216</v>
      </c>
      <c r="C188" s="2" t="str">
        <f t="shared" si="2"/>
        <v>Jul</v>
      </c>
      <c r="D188" t="s">
        <v>9</v>
      </c>
      <c r="E188" t="s">
        <v>10</v>
      </c>
      <c r="F188" t="s">
        <v>11</v>
      </c>
      <c r="G188">
        <v>114</v>
      </c>
      <c r="H188" s="3">
        <v>17.16</v>
      </c>
      <c r="I188" s="3">
        <v>1956.24</v>
      </c>
    </row>
    <row r="189" spans="1:9" x14ac:dyDescent="0.3">
      <c r="A189" t="s">
        <v>226</v>
      </c>
      <c r="B189" s="2">
        <v>46217</v>
      </c>
      <c r="C189" s="2" t="str">
        <f t="shared" si="2"/>
        <v>Jul</v>
      </c>
      <c r="D189" t="s">
        <v>57</v>
      </c>
      <c r="E189" t="s">
        <v>24</v>
      </c>
      <c r="F189" t="s">
        <v>21</v>
      </c>
      <c r="G189">
        <v>127</v>
      </c>
      <c r="H189" s="3">
        <v>9.61</v>
      </c>
      <c r="I189" s="3">
        <v>1220.47</v>
      </c>
    </row>
    <row r="190" spans="1:9" x14ac:dyDescent="0.3">
      <c r="A190" t="s">
        <v>227</v>
      </c>
      <c r="B190" s="2">
        <v>46218</v>
      </c>
      <c r="C190" s="2" t="str">
        <f t="shared" si="2"/>
        <v>Jul</v>
      </c>
      <c r="D190" t="s">
        <v>157</v>
      </c>
      <c r="E190" t="s">
        <v>64</v>
      </c>
      <c r="F190" t="s">
        <v>21</v>
      </c>
      <c r="G190">
        <v>165</v>
      </c>
      <c r="H190" s="3">
        <v>7.3</v>
      </c>
      <c r="I190" s="3">
        <v>1204.5</v>
      </c>
    </row>
    <row r="191" spans="1:9" x14ac:dyDescent="0.3">
      <c r="A191" t="s">
        <v>228</v>
      </c>
      <c r="B191" s="2">
        <v>46219</v>
      </c>
      <c r="C191" s="2" t="str">
        <f t="shared" si="2"/>
        <v>Jul</v>
      </c>
      <c r="D191" t="s">
        <v>57</v>
      </c>
      <c r="E191" t="s">
        <v>24</v>
      </c>
      <c r="F191" t="s">
        <v>21</v>
      </c>
      <c r="G191">
        <v>129</v>
      </c>
      <c r="H191" s="3">
        <v>9.52</v>
      </c>
      <c r="I191" s="3">
        <v>1228.08</v>
      </c>
    </row>
    <row r="192" spans="1:9" x14ac:dyDescent="0.3">
      <c r="A192" t="s">
        <v>229</v>
      </c>
      <c r="B192" s="2">
        <v>46220</v>
      </c>
      <c r="C192" s="2" t="str">
        <f t="shared" si="2"/>
        <v>Jul</v>
      </c>
      <c r="D192" t="s">
        <v>9</v>
      </c>
      <c r="E192" t="s">
        <v>10</v>
      </c>
      <c r="F192" t="s">
        <v>11</v>
      </c>
      <c r="G192">
        <v>130</v>
      </c>
      <c r="H192" s="3">
        <v>18.91</v>
      </c>
      <c r="I192" s="3">
        <v>2458.3000000000002</v>
      </c>
    </row>
    <row r="193" spans="1:9" x14ac:dyDescent="0.3">
      <c r="A193" t="s">
        <v>230</v>
      </c>
      <c r="B193" s="2">
        <v>46221</v>
      </c>
      <c r="C193" s="2" t="str">
        <f t="shared" si="2"/>
        <v>Jul</v>
      </c>
      <c r="D193" t="s">
        <v>23</v>
      </c>
      <c r="E193" t="s">
        <v>24</v>
      </c>
      <c r="F193" t="s">
        <v>11</v>
      </c>
      <c r="G193">
        <v>146</v>
      </c>
      <c r="H193" s="3">
        <v>16.420000000000002</v>
      </c>
      <c r="I193" s="3">
        <v>2397.3200000000002</v>
      </c>
    </row>
    <row r="194" spans="1:9" x14ac:dyDescent="0.3">
      <c r="A194" t="s">
        <v>231</v>
      </c>
      <c r="B194" s="2">
        <v>46222</v>
      </c>
      <c r="C194" s="2" t="str">
        <f t="shared" si="2"/>
        <v>Jul</v>
      </c>
      <c r="D194" t="s">
        <v>53</v>
      </c>
      <c r="E194" t="s">
        <v>20</v>
      </c>
      <c r="F194" t="s">
        <v>11</v>
      </c>
      <c r="G194">
        <v>81</v>
      </c>
      <c r="H194" s="3">
        <v>12.23</v>
      </c>
      <c r="I194" s="3">
        <v>990.63</v>
      </c>
    </row>
    <row r="195" spans="1:9" x14ac:dyDescent="0.3">
      <c r="A195" t="s">
        <v>232</v>
      </c>
      <c r="B195" s="2">
        <v>46223</v>
      </c>
      <c r="C195" s="2" t="str">
        <f t="shared" ref="C195:C258" si="3">TEXT(B195,"mmm")</f>
        <v>Jul</v>
      </c>
      <c r="D195" t="s">
        <v>35</v>
      </c>
      <c r="E195" t="s">
        <v>36</v>
      </c>
      <c r="F195" t="s">
        <v>11</v>
      </c>
      <c r="G195">
        <v>41</v>
      </c>
      <c r="H195" s="3">
        <v>25.39</v>
      </c>
      <c r="I195" s="3">
        <v>1040.99</v>
      </c>
    </row>
    <row r="196" spans="1:9" x14ac:dyDescent="0.3">
      <c r="A196" t="s">
        <v>233</v>
      </c>
      <c r="B196" s="2">
        <v>46224</v>
      </c>
      <c r="C196" s="2" t="str">
        <f t="shared" si="3"/>
        <v>Jul</v>
      </c>
      <c r="D196" t="s">
        <v>19</v>
      </c>
      <c r="E196" t="s">
        <v>20</v>
      </c>
      <c r="F196" t="s">
        <v>21</v>
      </c>
      <c r="G196">
        <v>151</v>
      </c>
      <c r="H196" s="3">
        <v>5.0199999999999996</v>
      </c>
      <c r="I196" s="3">
        <v>758.02</v>
      </c>
    </row>
    <row r="197" spans="1:9" x14ac:dyDescent="0.3">
      <c r="A197" t="s">
        <v>234</v>
      </c>
      <c r="B197" s="2">
        <v>46225</v>
      </c>
      <c r="C197" s="2" t="str">
        <f t="shared" si="3"/>
        <v>Jul</v>
      </c>
      <c r="D197" t="s">
        <v>9</v>
      </c>
      <c r="E197" t="s">
        <v>10</v>
      </c>
      <c r="F197" t="s">
        <v>11</v>
      </c>
      <c r="G197">
        <v>93</v>
      </c>
      <c r="H197" s="3">
        <v>19.350000000000001</v>
      </c>
      <c r="I197" s="3">
        <v>1799.55</v>
      </c>
    </row>
    <row r="198" spans="1:9" x14ac:dyDescent="0.3">
      <c r="A198" t="s">
        <v>235</v>
      </c>
      <c r="B198" s="2">
        <v>46226</v>
      </c>
      <c r="C198" s="2" t="str">
        <f t="shared" si="3"/>
        <v>Jul</v>
      </c>
      <c r="D198" t="s">
        <v>38</v>
      </c>
      <c r="E198" t="s">
        <v>39</v>
      </c>
      <c r="F198" t="s">
        <v>21</v>
      </c>
      <c r="G198">
        <v>132</v>
      </c>
      <c r="H198" s="3">
        <v>5.82</v>
      </c>
      <c r="I198" s="3">
        <v>768.24</v>
      </c>
    </row>
    <row r="199" spans="1:9" x14ac:dyDescent="0.3">
      <c r="A199" t="s">
        <v>236</v>
      </c>
      <c r="B199" s="2">
        <v>46227</v>
      </c>
      <c r="C199" s="2" t="str">
        <f t="shared" si="3"/>
        <v>Jul</v>
      </c>
      <c r="D199" t="s">
        <v>70</v>
      </c>
      <c r="E199" t="s">
        <v>17</v>
      </c>
      <c r="F199" t="s">
        <v>21</v>
      </c>
      <c r="G199">
        <v>124</v>
      </c>
      <c r="H199" s="3">
        <v>15.76</v>
      </c>
      <c r="I199" s="3">
        <v>1954.24</v>
      </c>
    </row>
    <row r="200" spans="1:9" x14ac:dyDescent="0.3">
      <c r="A200" t="s">
        <v>237</v>
      </c>
      <c r="B200" s="2">
        <v>46228</v>
      </c>
      <c r="C200" s="2" t="str">
        <f t="shared" si="3"/>
        <v>Jul</v>
      </c>
      <c r="D200" t="s">
        <v>16</v>
      </c>
      <c r="E200" t="s">
        <v>17</v>
      </c>
      <c r="F200" t="s">
        <v>11</v>
      </c>
      <c r="G200">
        <v>141</v>
      </c>
      <c r="H200" s="3">
        <v>24.31</v>
      </c>
      <c r="I200" s="3">
        <v>3427.71</v>
      </c>
    </row>
    <row r="201" spans="1:9" x14ac:dyDescent="0.3">
      <c r="A201" t="s">
        <v>238</v>
      </c>
      <c r="B201" s="2">
        <v>46229</v>
      </c>
      <c r="C201" s="2" t="str">
        <f t="shared" si="3"/>
        <v>Jul</v>
      </c>
      <c r="D201" t="s">
        <v>57</v>
      </c>
      <c r="E201" t="s">
        <v>24</v>
      </c>
      <c r="F201" t="s">
        <v>21</v>
      </c>
      <c r="G201">
        <v>70</v>
      </c>
      <c r="H201" s="3">
        <v>8.93</v>
      </c>
      <c r="I201" s="3">
        <v>625.1</v>
      </c>
    </row>
    <row r="202" spans="1:9" x14ac:dyDescent="0.3">
      <c r="A202" t="s">
        <v>239</v>
      </c>
      <c r="B202" s="2">
        <v>46230</v>
      </c>
      <c r="C202" s="2" t="str">
        <f t="shared" si="3"/>
        <v>Jul</v>
      </c>
      <c r="D202" t="s">
        <v>41</v>
      </c>
      <c r="E202" t="s">
        <v>20</v>
      </c>
      <c r="F202" t="s">
        <v>21</v>
      </c>
      <c r="G202">
        <v>65</v>
      </c>
      <c r="H202" s="3">
        <v>7.45</v>
      </c>
      <c r="I202" s="3">
        <v>484.25</v>
      </c>
    </row>
    <row r="203" spans="1:9" x14ac:dyDescent="0.3">
      <c r="A203" t="s">
        <v>240</v>
      </c>
      <c r="B203" s="2">
        <v>46231</v>
      </c>
      <c r="C203" s="2" t="str">
        <f t="shared" si="3"/>
        <v>Jul</v>
      </c>
      <c r="D203" t="s">
        <v>38</v>
      </c>
      <c r="E203" t="s">
        <v>39</v>
      </c>
      <c r="F203" t="s">
        <v>21</v>
      </c>
      <c r="G203">
        <v>102</v>
      </c>
      <c r="H203" s="3">
        <v>6.18</v>
      </c>
      <c r="I203" s="3">
        <v>630.36</v>
      </c>
    </row>
    <row r="204" spans="1:9" x14ac:dyDescent="0.3">
      <c r="A204" t="s">
        <v>241</v>
      </c>
      <c r="B204" s="2">
        <v>46232</v>
      </c>
      <c r="C204" s="2" t="str">
        <f t="shared" si="3"/>
        <v>Jul</v>
      </c>
      <c r="D204" t="s">
        <v>55</v>
      </c>
      <c r="E204" t="s">
        <v>36</v>
      </c>
      <c r="F204" t="s">
        <v>21</v>
      </c>
      <c r="G204">
        <v>33</v>
      </c>
      <c r="H204" s="3">
        <v>10.14</v>
      </c>
      <c r="I204" s="3">
        <v>334.62</v>
      </c>
    </row>
    <row r="205" spans="1:9" x14ac:dyDescent="0.3">
      <c r="A205" t="s">
        <v>242</v>
      </c>
      <c r="B205" s="2">
        <v>46233</v>
      </c>
      <c r="C205" s="2" t="str">
        <f t="shared" si="3"/>
        <v>Jul</v>
      </c>
      <c r="D205" t="s">
        <v>30</v>
      </c>
      <c r="E205" t="s">
        <v>10</v>
      </c>
      <c r="F205" t="s">
        <v>21</v>
      </c>
      <c r="G205">
        <v>92</v>
      </c>
      <c r="H205" s="3">
        <v>10.75</v>
      </c>
      <c r="I205" s="3">
        <v>989</v>
      </c>
    </row>
    <row r="206" spans="1:9" x14ac:dyDescent="0.3">
      <c r="A206" t="s">
        <v>243</v>
      </c>
      <c r="B206" s="2">
        <v>46234</v>
      </c>
      <c r="C206" s="2" t="str">
        <f t="shared" si="3"/>
        <v>Jul</v>
      </c>
      <c r="D206" t="s">
        <v>27</v>
      </c>
      <c r="E206" t="s">
        <v>28</v>
      </c>
      <c r="F206" t="s">
        <v>21</v>
      </c>
      <c r="G206">
        <v>73</v>
      </c>
      <c r="H206" s="3">
        <v>5.92</v>
      </c>
      <c r="I206" s="3">
        <v>432.16</v>
      </c>
    </row>
    <row r="207" spans="1:9" x14ac:dyDescent="0.3">
      <c r="A207" t="s">
        <v>244</v>
      </c>
      <c r="B207" s="2">
        <v>46235</v>
      </c>
      <c r="C207" s="2" t="str">
        <f t="shared" si="3"/>
        <v>Aug</v>
      </c>
      <c r="D207" t="s">
        <v>27</v>
      </c>
      <c r="E207" t="s">
        <v>28</v>
      </c>
      <c r="F207" t="s">
        <v>21</v>
      </c>
      <c r="G207">
        <v>101</v>
      </c>
      <c r="H207" s="3">
        <v>5.71</v>
      </c>
      <c r="I207" s="3">
        <v>576.71</v>
      </c>
    </row>
    <row r="208" spans="1:9" x14ac:dyDescent="0.3">
      <c r="A208" t="s">
        <v>245</v>
      </c>
      <c r="B208" s="2">
        <v>46236</v>
      </c>
      <c r="C208" s="2" t="str">
        <f t="shared" si="3"/>
        <v>Aug</v>
      </c>
      <c r="D208" t="s">
        <v>41</v>
      </c>
      <c r="E208" t="s">
        <v>20</v>
      </c>
      <c r="F208" t="s">
        <v>21</v>
      </c>
      <c r="G208">
        <v>60</v>
      </c>
      <c r="H208" s="3">
        <v>7.31</v>
      </c>
      <c r="I208" s="3">
        <v>438.6</v>
      </c>
    </row>
    <row r="209" spans="1:9" x14ac:dyDescent="0.3">
      <c r="A209" t="s">
        <v>246</v>
      </c>
      <c r="B209" s="2">
        <v>46237</v>
      </c>
      <c r="C209" s="2" t="str">
        <f t="shared" si="3"/>
        <v>Aug</v>
      </c>
      <c r="D209" t="s">
        <v>16</v>
      </c>
      <c r="E209" t="s">
        <v>17</v>
      </c>
      <c r="F209" t="s">
        <v>11</v>
      </c>
      <c r="G209">
        <v>127</v>
      </c>
      <c r="H209" s="3">
        <v>23.55</v>
      </c>
      <c r="I209" s="3">
        <v>2990.85</v>
      </c>
    </row>
    <row r="210" spans="1:9" x14ac:dyDescent="0.3">
      <c r="A210" t="s">
        <v>247</v>
      </c>
      <c r="B210" s="2">
        <v>46238</v>
      </c>
      <c r="C210" s="2" t="str">
        <f t="shared" si="3"/>
        <v>Aug</v>
      </c>
      <c r="D210" t="s">
        <v>59</v>
      </c>
      <c r="E210" t="s">
        <v>39</v>
      </c>
      <c r="F210" t="s">
        <v>11</v>
      </c>
      <c r="G210">
        <v>87</v>
      </c>
      <c r="H210" s="3">
        <v>13.69</v>
      </c>
      <c r="I210" s="3">
        <v>1191.03</v>
      </c>
    </row>
    <row r="211" spans="1:9" x14ac:dyDescent="0.3">
      <c r="A211" t="s">
        <v>248</v>
      </c>
      <c r="B211" s="2">
        <v>46239</v>
      </c>
      <c r="C211" s="2" t="str">
        <f t="shared" si="3"/>
        <v>Aug</v>
      </c>
      <c r="D211" t="s">
        <v>82</v>
      </c>
      <c r="E211" t="s">
        <v>28</v>
      </c>
      <c r="F211" t="s">
        <v>11</v>
      </c>
      <c r="G211">
        <v>58</v>
      </c>
      <c r="H211" s="3">
        <v>14.04</v>
      </c>
      <c r="I211" s="3">
        <v>814.32</v>
      </c>
    </row>
    <row r="212" spans="1:9" x14ac:dyDescent="0.3">
      <c r="A212" t="s">
        <v>249</v>
      </c>
      <c r="B212" s="2">
        <v>46240</v>
      </c>
      <c r="C212" s="2" t="str">
        <f t="shared" si="3"/>
        <v>Aug</v>
      </c>
      <c r="D212" t="s">
        <v>82</v>
      </c>
      <c r="E212" t="s">
        <v>28</v>
      </c>
      <c r="F212" t="s">
        <v>11</v>
      </c>
      <c r="G212">
        <v>114</v>
      </c>
      <c r="H212" s="3">
        <v>14.36</v>
      </c>
      <c r="I212" s="3">
        <v>1637.04</v>
      </c>
    </row>
    <row r="213" spans="1:9" x14ac:dyDescent="0.3">
      <c r="A213" t="s">
        <v>250</v>
      </c>
      <c r="B213" s="2">
        <v>46241</v>
      </c>
      <c r="C213" s="2" t="str">
        <f t="shared" si="3"/>
        <v>Aug</v>
      </c>
      <c r="D213" t="s">
        <v>16</v>
      </c>
      <c r="E213" t="s">
        <v>17</v>
      </c>
      <c r="F213" t="s">
        <v>11</v>
      </c>
      <c r="G213">
        <v>97</v>
      </c>
      <c r="H213" s="3">
        <v>23.87</v>
      </c>
      <c r="I213" s="3">
        <v>2315.39</v>
      </c>
    </row>
    <row r="214" spans="1:9" x14ac:dyDescent="0.3">
      <c r="A214" t="s">
        <v>251</v>
      </c>
      <c r="B214" s="2">
        <v>46242</v>
      </c>
      <c r="C214" s="2" t="str">
        <f t="shared" si="3"/>
        <v>Aug</v>
      </c>
      <c r="D214" t="s">
        <v>16</v>
      </c>
      <c r="E214" t="s">
        <v>17</v>
      </c>
      <c r="F214" t="s">
        <v>11</v>
      </c>
      <c r="G214">
        <v>72</v>
      </c>
      <c r="H214" s="3">
        <v>23.9</v>
      </c>
      <c r="I214" s="3">
        <v>1720.8</v>
      </c>
    </row>
    <row r="215" spans="1:9" x14ac:dyDescent="0.3">
      <c r="A215" t="s">
        <v>252</v>
      </c>
      <c r="B215" s="2">
        <v>46243</v>
      </c>
      <c r="C215" s="2" t="str">
        <f t="shared" si="3"/>
        <v>Aug</v>
      </c>
      <c r="D215" t="s">
        <v>27</v>
      </c>
      <c r="E215" t="s">
        <v>28</v>
      </c>
      <c r="F215" t="s">
        <v>21</v>
      </c>
      <c r="G215">
        <v>69</v>
      </c>
      <c r="H215" s="3">
        <v>5.9</v>
      </c>
      <c r="I215" s="3">
        <v>407.1</v>
      </c>
    </row>
    <row r="216" spans="1:9" x14ac:dyDescent="0.3">
      <c r="A216" t="s">
        <v>253</v>
      </c>
      <c r="B216" s="2">
        <v>46244</v>
      </c>
      <c r="C216" s="2" t="str">
        <f t="shared" si="3"/>
        <v>Aug</v>
      </c>
      <c r="D216" t="s">
        <v>44</v>
      </c>
      <c r="E216" t="s">
        <v>14</v>
      </c>
      <c r="F216" t="s">
        <v>21</v>
      </c>
      <c r="G216">
        <v>70</v>
      </c>
      <c r="H216" s="3">
        <v>7.72</v>
      </c>
      <c r="I216" s="3">
        <v>540.4</v>
      </c>
    </row>
    <row r="217" spans="1:9" x14ac:dyDescent="0.3">
      <c r="A217" t="s">
        <v>254</v>
      </c>
      <c r="B217" s="2">
        <v>46245</v>
      </c>
      <c r="C217" s="2" t="str">
        <f t="shared" si="3"/>
        <v>Aug</v>
      </c>
      <c r="D217" t="s">
        <v>30</v>
      </c>
      <c r="E217" t="s">
        <v>10</v>
      </c>
      <c r="F217" t="s">
        <v>21</v>
      </c>
      <c r="G217">
        <v>54</v>
      </c>
      <c r="H217" s="3">
        <v>10.76</v>
      </c>
      <c r="I217" s="3">
        <v>581.04</v>
      </c>
    </row>
    <row r="218" spans="1:9" x14ac:dyDescent="0.3">
      <c r="A218" t="s">
        <v>255</v>
      </c>
      <c r="B218" s="2">
        <v>46246</v>
      </c>
      <c r="C218" s="2" t="str">
        <f t="shared" si="3"/>
        <v>Aug</v>
      </c>
      <c r="D218" t="s">
        <v>27</v>
      </c>
      <c r="E218" t="s">
        <v>28</v>
      </c>
      <c r="F218" t="s">
        <v>21</v>
      </c>
      <c r="G218">
        <v>122</v>
      </c>
      <c r="H218" s="3">
        <v>6.16</v>
      </c>
      <c r="I218" s="3">
        <v>751.52</v>
      </c>
    </row>
    <row r="219" spans="1:9" x14ac:dyDescent="0.3">
      <c r="A219" t="s">
        <v>256</v>
      </c>
      <c r="B219" s="2">
        <v>46247</v>
      </c>
      <c r="C219" s="2" t="str">
        <f t="shared" si="3"/>
        <v>Aug</v>
      </c>
      <c r="D219" t="s">
        <v>70</v>
      </c>
      <c r="E219" t="s">
        <v>17</v>
      </c>
      <c r="F219" t="s">
        <v>21</v>
      </c>
      <c r="G219">
        <v>106</v>
      </c>
      <c r="H219" s="3">
        <v>15.79</v>
      </c>
      <c r="I219" s="3">
        <v>1673.74</v>
      </c>
    </row>
    <row r="220" spans="1:9" x14ac:dyDescent="0.3">
      <c r="A220" t="s">
        <v>257</v>
      </c>
      <c r="B220" s="2">
        <v>46248</v>
      </c>
      <c r="C220" s="2" t="str">
        <f t="shared" si="3"/>
        <v>Aug</v>
      </c>
      <c r="D220" t="s">
        <v>44</v>
      </c>
      <c r="E220" t="s">
        <v>14</v>
      </c>
      <c r="F220" t="s">
        <v>21</v>
      </c>
      <c r="G220">
        <v>67</v>
      </c>
      <c r="H220" s="3">
        <v>7.84</v>
      </c>
      <c r="I220" s="3">
        <v>525.28</v>
      </c>
    </row>
    <row r="221" spans="1:9" x14ac:dyDescent="0.3">
      <c r="A221" t="s">
        <v>258</v>
      </c>
      <c r="B221" s="2">
        <v>46249</v>
      </c>
      <c r="C221" s="2" t="str">
        <f t="shared" si="3"/>
        <v>Aug</v>
      </c>
      <c r="D221" t="s">
        <v>82</v>
      </c>
      <c r="E221" t="s">
        <v>28</v>
      </c>
      <c r="F221" t="s">
        <v>11</v>
      </c>
      <c r="G221">
        <v>31</v>
      </c>
      <c r="H221" s="3">
        <v>14.59</v>
      </c>
      <c r="I221" s="3">
        <v>452.29</v>
      </c>
    </row>
    <row r="222" spans="1:9" x14ac:dyDescent="0.3">
      <c r="A222" t="s">
        <v>259</v>
      </c>
      <c r="B222" s="2">
        <v>46250</v>
      </c>
      <c r="C222" s="2" t="str">
        <f t="shared" si="3"/>
        <v>Aug</v>
      </c>
      <c r="D222" t="s">
        <v>27</v>
      </c>
      <c r="E222" t="s">
        <v>28</v>
      </c>
      <c r="F222" t="s">
        <v>21</v>
      </c>
      <c r="G222">
        <v>35</v>
      </c>
      <c r="H222" s="3">
        <v>6.46</v>
      </c>
      <c r="I222" s="3">
        <v>226.1</v>
      </c>
    </row>
    <row r="223" spans="1:9" x14ac:dyDescent="0.3">
      <c r="A223" t="s">
        <v>260</v>
      </c>
      <c r="B223" s="2">
        <v>46251</v>
      </c>
      <c r="C223" s="2" t="str">
        <f t="shared" si="3"/>
        <v>Aug</v>
      </c>
      <c r="D223" t="s">
        <v>82</v>
      </c>
      <c r="E223" t="s">
        <v>28</v>
      </c>
      <c r="F223" t="s">
        <v>11</v>
      </c>
      <c r="G223">
        <v>119</v>
      </c>
      <c r="H223" s="3">
        <v>15.02</v>
      </c>
      <c r="I223" s="3">
        <v>1787.38</v>
      </c>
    </row>
    <row r="224" spans="1:9" x14ac:dyDescent="0.3">
      <c r="A224" t="s">
        <v>261</v>
      </c>
      <c r="B224" s="2">
        <v>46252</v>
      </c>
      <c r="C224" s="2" t="str">
        <f t="shared" si="3"/>
        <v>Aug</v>
      </c>
      <c r="D224" t="s">
        <v>59</v>
      </c>
      <c r="E224" t="s">
        <v>39</v>
      </c>
      <c r="F224" t="s">
        <v>11</v>
      </c>
      <c r="G224">
        <v>43</v>
      </c>
      <c r="H224" s="3">
        <v>13.82</v>
      </c>
      <c r="I224" s="3">
        <v>594.26</v>
      </c>
    </row>
    <row r="225" spans="1:9" x14ac:dyDescent="0.3">
      <c r="A225" t="s">
        <v>262</v>
      </c>
      <c r="B225" s="2">
        <v>46253</v>
      </c>
      <c r="C225" s="2" t="str">
        <f t="shared" si="3"/>
        <v>Aug</v>
      </c>
      <c r="D225" t="s">
        <v>82</v>
      </c>
      <c r="E225" t="s">
        <v>28</v>
      </c>
      <c r="F225" t="s">
        <v>11</v>
      </c>
      <c r="G225">
        <v>90</v>
      </c>
      <c r="H225" s="3">
        <v>14.17</v>
      </c>
      <c r="I225" s="3">
        <v>1275.3</v>
      </c>
    </row>
    <row r="226" spans="1:9" x14ac:dyDescent="0.3">
      <c r="A226" t="s">
        <v>263</v>
      </c>
      <c r="B226" s="2">
        <v>46254</v>
      </c>
      <c r="C226" s="2" t="str">
        <f t="shared" si="3"/>
        <v>Aug</v>
      </c>
      <c r="D226" t="s">
        <v>30</v>
      </c>
      <c r="E226" t="s">
        <v>10</v>
      </c>
      <c r="F226" t="s">
        <v>21</v>
      </c>
      <c r="G226">
        <v>36</v>
      </c>
      <c r="H226" s="3">
        <v>10.81</v>
      </c>
      <c r="I226" s="3">
        <v>389.16</v>
      </c>
    </row>
    <row r="227" spans="1:9" x14ac:dyDescent="0.3">
      <c r="A227" t="s">
        <v>264</v>
      </c>
      <c r="B227" s="2">
        <v>46255</v>
      </c>
      <c r="C227" s="2" t="str">
        <f t="shared" si="3"/>
        <v>Aug</v>
      </c>
      <c r="D227" t="s">
        <v>59</v>
      </c>
      <c r="E227" t="s">
        <v>39</v>
      </c>
      <c r="F227" t="s">
        <v>11</v>
      </c>
      <c r="G227">
        <v>44</v>
      </c>
      <c r="H227" s="3">
        <v>13.74</v>
      </c>
      <c r="I227" s="3">
        <v>604.55999999999995</v>
      </c>
    </row>
    <row r="228" spans="1:9" x14ac:dyDescent="0.3">
      <c r="A228" t="s">
        <v>265</v>
      </c>
      <c r="B228" s="2">
        <v>46256</v>
      </c>
      <c r="C228" s="2" t="str">
        <f t="shared" si="3"/>
        <v>Aug</v>
      </c>
      <c r="D228" t="s">
        <v>59</v>
      </c>
      <c r="E228" t="s">
        <v>39</v>
      </c>
      <c r="F228" t="s">
        <v>11</v>
      </c>
      <c r="G228">
        <v>39</v>
      </c>
      <c r="H228" s="3">
        <v>13.33</v>
      </c>
      <c r="I228" s="3">
        <v>519.87</v>
      </c>
    </row>
    <row r="229" spans="1:9" x14ac:dyDescent="0.3">
      <c r="A229" t="s">
        <v>266</v>
      </c>
      <c r="B229" s="2">
        <v>46257</v>
      </c>
      <c r="C229" s="2" t="str">
        <f t="shared" si="3"/>
        <v>Aug</v>
      </c>
      <c r="D229" t="s">
        <v>53</v>
      </c>
      <c r="E229" t="s">
        <v>20</v>
      </c>
      <c r="F229" t="s">
        <v>11</v>
      </c>
      <c r="G229">
        <v>49</v>
      </c>
      <c r="H229" s="3">
        <v>11.63</v>
      </c>
      <c r="I229" s="3">
        <v>569.87</v>
      </c>
    </row>
    <row r="230" spans="1:9" x14ac:dyDescent="0.3">
      <c r="A230" t="s">
        <v>267</v>
      </c>
      <c r="B230" s="2">
        <v>46258</v>
      </c>
      <c r="C230" s="2" t="str">
        <f t="shared" si="3"/>
        <v>Aug</v>
      </c>
      <c r="D230" t="s">
        <v>82</v>
      </c>
      <c r="E230" t="s">
        <v>28</v>
      </c>
      <c r="F230" t="s">
        <v>11</v>
      </c>
      <c r="G230">
        <v>40</v>
      </c>
      <c r="H230" s="3">
        <v>15.11</v>
      </c>
      <c r="I230" s="3">
        <v>604.4</v>
      </c>
    </row>
    <row r="231" spans="1:9" x14ac:dyDescent="0.3">
      <c r="A231" t="s">
        <v>268</v>
      </c>
      <c r="B231" s="2">
        <v>46259</v>
      </c>
      <c r="C231" s="2" t="str">
        <f t="shared" si="3"/>
        <v>Aug</v>
      </c>
      <c r="D231" t="s">
        <v>16</v>
      </c>
      <c r="E231" t="s">
        <v>17</v>
      </c>
      <c r="F231" t="s">
        <v>11</v>
      </c>
      <c r="G231">
        <v>127</v>
      </c>
      <c r="H231" s="3">
        <v>24.1</v>
      </c>
      <c r="I231" s="3">
        <v>3060.7</v>
      </c>
    </row>
    <row r="232" spans="1:9" x14ac:dyDescent="0.3">
      <c r="A232" t="s">
        <v>269</v>
      </c>
      <c r="B232" s="2">
        <v>46260</v>
      </c>
      <c r="C232" s="2" t="str">
        <f t="shared" si="3"/>
        <v>Aug</v>
      </c>
      <c r="D232" t="s">
        <v>23</v>
      </c>
      <c r="E232" t="s">
        <v>24</v>
      </c>
      <c r="F232" t="s">
        <v>11</v>
      </c>
      <c r="G232">
        <v>58</v>
      </c>
      <c r="H232" s="3">
        <v>17.86</v>
      </c>
      <c r="I232" s="3">
        <v>1035.8800000000001</v>
      </c>
    </row>
    <row r="233" spans="1:9" x14ac:dyDescent="0.3">
      <c r="A233" t="s">
        <v>270</v>
      </c>
      <c r="B233" s="2">
        <v>46261</v>
      </c>
      <c r="C233" s="2" t="str">
        <f t="shared" si="3"/>
        <v>Aug</v>
      </c>
      <c r="D233" t="s">
        <v>38</v>
      </c>
      <c r="E233" t="s">
        <v>39</v>
      </c>
      <c r="F233" t="s">
        <v>21</v>
      </c>
      <c r="G233">
        <v>146</v>
      </c>
      <c r="H233" s="3">
        <v>6.05</v>
      </c>
      <c r="I233" s="3">
        <v>883.3</v>
      </c>
    </row>
    <row r="234" spans="1:9" x14ac:dyDescent="0.3">
      <c r="A234" t="s">
        <v>271</v>
      </c>
      <c r="B234" s="2">
        <v>46262</v>
      </c>
      <c r="C234" s="2" t="str">
        <f t="shared" si="3"/>
        <v>Aug</v>
      </c>
      <c r="D234" t="s">
        <v>57</v>
      </c>
      <c r="E234" t="s">
        <v>24</v>
      </c>
      <c r="F234" t="s">
        <v>21</v>
      </c>
      <c r="G234">
        <v>84</v>
      </c>
      <c r="H234" s="3">
        <v>8.91</v>
      </c>
      <c r="I234" s="3">
        <v>748.44</v>
      </c>
    </row>
    <row r="235" spans="1:9" x14ac:dyDescent="0.3">
      <c r="A235" t="s">
        <v>272</v>
      </c>
      <c r="B235" s="2">
        <v>46263</v>
      </c>
      <c r="C235" s="2" t="str">
        <f t="shared" si="3"/>
        <v>Aug</v>
      </c>
      <c r="D235" t="s">
        <v>53</v>
      </c>
      <c r="E235" t="s">
        <v>20</v>
      </c>
      <c r="F235" t="s">
        <v>11</v>
      </c>
      <c r="G235">
        <v>108</v>
      </c>
      <c r="H235" s="3">
        <v>12.9</v>
      </c>
      <c r="I235" s="3">
        <v>1393.2</v>
      </c>
    </row>
    <row r="236" spans="1:9" x14ac:dyDescent="0.3">
      <c r="A236" t="s">
        <v>273</v>
      </c>
      <c r="B236" s="2">
        <v>46264</v>
      </c>
      <c r="C236" s="2" t="str">
        <f t="shared" si="3"/>
        <v>Aug</v>
      </c>
      <c r="D236" t="s">
        <v>44</v>
      </c>
      <c r="E236" t="s">
        <v>14</v>
      </c>
      <c r="F236" t="s">
        <v>21</v>
      </c>
      <c r="G236">
        <v>110</v>
      </c>
      <c r="H236" s="3">
        <v>7.82</v>
      </c>
      <c r="I236" s="3">
        <v>860.2</v>
      </c>
    </row>
    <row r="237" spans="1:9" x14ac:dyDescent="0.3">
      <c r="A237" t="s">
        <v>274</v>
      </c>
      <c r="B237" s="2">
        <v>46265</v>
      </c>
      <c r="C237" s="2" t="str">
        <f t="shared" si="3"/>
        <v>Aug</v>
      </c>
      <c r="D237" t="s">
        <v>41</v>
      </c>
      <c r="E237" t="s">
        <v>20</v>
      </c>
      <c r="F237" t="s">
        <v>21</v>
      </c>
      <c r="G237">
        <v>50</v>
      </c>
      <c r="H237" s="3">
        <v>6.87</v>
      </c>
      <c r="I237" s="3">
        <v>343.5</v>
      </c>
    </row>
    <row r="238" spans="1:9" x14ac:dyDescent="0.3">
      <c r="A238" t="s">
        <v>275</v>
      </c>
      <c r="B238" s="2">
        <v>46266</v>
      </c>
      <c r="C238" s="2" t="str">
        <f t="shared" si="3"/>
        <v>Sep</v>
      </c>
      <c r="D238" t="s">
        <v>41</v>
      </c>
      <c r="E238" t="s">
        <v>20</v>
      </c>
      <c r="F238" t="s">
        <v>21</v>
      </c>
      <c r="G238">
        <v>50</v>
      </c>
      <c r="H238" s="3">
        <v>6.65</v>
      </c>
      <c r="I238" s="3">
        <v>332.5</v>
      </c>
    </row>
    <row r="239" spans="1:9" x14ac:dyDescent="0.3">
      <c r="A239" t="s">
        <v>276</v>
      </c>
      <c r="B239" s="2">
        <v>46267</v>
      </c>
      <c r="C239" s="2" t="str">
        <f t="shared" si="3"/>
        <v>Sep</v>
      </c>
      <c r="D239" t="s">
        <v>23</v>
      </c>
      <c r="E239" t="s">
        <v>24</v>
      </c>
      <c r="F239" t="s">
        <v>11</v>
      </c>
      <c r="G239">
        <v>90</v>
      </c>
      <c r="H239" s="3">
        <v>16.79</v>
      </c>
      <c r="I239" s="3">
        <v>1511.1</v>
      </c>
    </row>
    <row r="240" spans="1:9" x14ac:dyDescent="0.3">
      <c r="A240" t="s">
        <v>277</v>
      </c>
      <c r="B240" s="2">
        <v>46268</v>
      </c>
      <c r="C240" s="2" t="str">
        <f t="shared" si="3"/>
        <v>Sep</v>
      </c>
      <c r="D240" t="s">
        <v>82</v>
      </c>
      <c r="E240" t="s">
        <v>28</v>
      </c>
      <c r="F240" t="s">
        <v>11</v>
      </c>
      <c r="G240">
        <v>120</v>
      </c>
      <c r="H240" s="3">
        <v>13.81</v>
      </c>
      <c r="I240" s="3">
        <v>1657.2</v>
      </c>
    </row>
    <row r="241" spans="1:9" x14ac:dyDescent="0.3">
      <c r="A241" t="s">
        <v>278</v>
      </c>
      <c r="B241" s="2">
        <v>46269</v>
      </c>
      <c r="C241" s="2" t="str">
        <f t="shared" si="3"/>
        <v>Sep</v>
      </c>
      <c r="D241" t="s">
        <v>38</v>
      </c>
      <c r="E241" t="s">
        <v>39</v>
      </c>
      <c r="F241" t="s">
        <v>21</v>
      </c>
      <c r="G241">
        <v>39</v>
      </c>
      <c r="H241" s="3">
        <v>6.24</v>
      </c>
      <c r="I241" s="3">
        <v>243.36</v>
      </c>
    </row>
    <row r="242" spans="1:9" x14ac:dyDescent="0.3">
      <c r="A242" t="s">
        <v>279</v>
      </c>
      <c r="B242" s="2">
        <v>46270</v>
      </c>
      <c r="C242" s="2" t="str">
        <f t="shared" si="3"/>
        <v>Sep</v>
      </c>
      <c r="D242" t="s">
        <v>57</v>
      </c>
      <c r="E242" t="s">
        <v>24</v>
      </c>
      <c r="F242" t="s">
        <v>21</v>
      </c>
      <c r="G242">
        <v>114</v>
      </c>
      <c r="H242" s="3">
        <v>9.49</v>
      </c>
      <c r="I242" s="3">
        <v>1081.8599999999999</v>
      </c>
    </row>
    <row r="243" spans="1:9" x14ac:dyDescent="0.3">
      <c r="A243" t="s">
        <v>280</v>
      </c>
      <c r="B243" s="2">
        <v>46271</v>
      </c>
      <c r="C243" s="2" t="str">
        <f t="shared" si="3"/>
        <v>Sep</v>
      </c>
      <c r="D243" t="s">
        <v>63</v>
      </c>
      <c r="E243" t="s">
        <v>64</v>
      </c>
      <c r="F243" t="s">
        <v>11</v>
      </c>
      <c r="G243">
        <v>44</v>
      </c>
      <c r="H243" s="3">
        <v>22.46</v>
      </c>
      <c r="I243" s="3">
        <v>988.24</v>
      </c>
    </row>
    <row r="244" spans="1:9" x14ac:dyDescent="0.3">
      <c r="A244" t="s">
        <v>281</v>
      </c>
      <c r="B244" s="2">
        <v>46272</v>
      </c>
      <c r="C244" s="2" t="str">
        <f t="shared" si="3"/>
        <v>Sep</v>
      </c>
      <c r="D244" t="s">
        <v>32</v>
      </c>
      <c r="E244" t="s">
        <v>10</v>
      </c>
      <c r="F244" t="s">
        <v>21</v>
      </c>
      <c r="G244">
        <v>146</v>
      </c>
      <c r="H244" s="3">
        <v>8.86</v>
      </c>
      <c r="I244" s="3">
        <v>1293.56</v>
      </c>
    </row>
    <row r="245" spans="1:9" x14ac:dyDescent="0.3">
      <c r="A245" t="s">
        <v>282</v>
      </c>
      <c r="B245" s="2">
        <v>46273</v>
      </c>
      <c r="C245" s="2" t="str">
        <f t="shared" si="3"/>
        <v>Sep</v>
      </c>
      <c r="D245" t="s">
        <v>41</v>
      </c>
      <c r="E245" t="s">
        <v>20</v>
      </c>
      <c r="F245" t="s">
        <v>21</v>
      </c>
      <c r="G245">
        <v>37</v>
      </c>
      <c r="H245" s="3">
        <v>6.8</v>
      </c>
      <c r="I245" s="3">
        <v>251.6</v>
      </c>
    </row>
    <row r="246" spans="1:9" x14ac:dyDescent="0.3">
      <c r="A246" t="s">
        <v>283</v>
      </c>
      <c r="B246" s="2">
        <v>46274</v>
      </c>
      <c r="C246" s="2" t="str">
        <f t="shared" si="3"/>
        <v>Sep</v>
      </c>
      <c r="D246" t="s">
        <v>23</v>
      </c>
      <c r="E246" t="s">
        <v>24</v>
      </c>
      <c r="F246" t="s">
        <v>11</v>
      </c>
      <c r="G246">
        <v>125</v>
      </c>
      <c r="H246" s="3">
        <v>17.97</v>
      </c>
      <c r="I246" s="3">
        <v>2246.25</v>
      </c>
    </row>
    <row r="247" spans="1:9" x14ac:dyDescent="0.3">
      <c r="A247" t="s">
        <v>284</v>
      </c>
      <c r="B247" s="2">
        <v>46275</v>
      </c>
      <c r="C247" s="2" t="str">
        <f t="shared" si="3"/>
        <v>Sep</v>
      </c>
      <c r="D247" t="s">
        <v>38</v>
      </c>
      <c r="E247" t="s">
        <v>39</v>
      </c>
      <c r="F247" t="s">
        <v>21</v>
      </c>
      <c r="G247">
        <v>45</v>
      </c>
      <c r="H247" s="3">
        <v>6.07</v>
      </c>
      <c r="I247" s="3">
        <v>273.14999999999998</v>
      </c>
    </row>
    <row r="248" spans="1:9" x14ac:dyDescent="0.3">
      <c r="A248" t="s">
        <v>285</v>
      </c>
      <c r="B248" s="2">
        <v>46276</v>
      </c>
      <c r="C248" s="2" t="str">
        <f t="shared" si="3"/>
        <v>Sep</v>
      </c>
      <c r="D248" t="s">
        <v>157</v>
      </c>
      <c r="E248" t="s">
        <v>64</v>
      </c>
      <c r="F248" t="s">
        <v>21</v>
      </c>
      <c r="G248">
        <v>150</v>
      </c>
      <c r="H248" s="3">
        <v>6.9</v>
      </c>
      <c r="I248" s="3">
        <v>1035</v>
      </c>
    </row>
    <row r="249" spans="1:9" x14ac:dyDescent="0.3">
      <c r="A249" t="s">
        <v>286</v>
      </c>
      <c r="B249" s="2">
        <v>46277</v>
      </c>
      <c r="C249" s="2" t="str">
        <f t="shared" si="3"/>
        <v>Sep</v>
      </c>
      <c r="D249" t="s">
        <v>59</v>
      </c>
      <c r="E249" t="s">
        <v>39</v>
      </c>
      <c r="F249" t="s">
        <v>11</v>
      </c>
      <c r="G249">
        <v>86</v>
      </c>
      <c r="H249" s="3">
        <v>12.49</v>
      </c>
      <c r="I249" s="3">
        <v>1074.1400000000001</v>
      </c>
    </row>
    <row r="250" spans="1:9" x14ac:dyDescent="0.3">
      <c r="A250" t="s">
        <v>287</v>
      </c>
      <c r="B250" s="2">
        <v>46278</v>
      </c>
      <c r="C250" s="2" t="str">
        <f t="shared" si="3"/>
        <v>Sep</v>
      </c>
      <c r="D250" t="s">
        <v>63</v>
      </c>
      <c r="E250" t="s">
        <v>64</v>
      </c>
      <c r="F250" t="s">
        <v>11</v>
      </c>
      <c r="G250">
        <v>124</v>
      </c>
      <c r="H250" s="3">
        <v>21.82</v>
      </c>
      <c r="I250" s="3">
        <v>2705.68</v>
      </c>
    </row>
    <row r="251" spans="1:9" x14ac:dyDescent="0.3">
      <c r="A251" t="s">
        <v>288</v>
      </c>
      <c r="B251" s="2">
        <v>46279</v>
      </c>
      <c r="C251" s="2" t="str">
        <f t="shared" si="3"/>
        <v>Sep</v>
      </c>
      <c r="D251" t="s">
        <v>19</v>
      </c>
      <c r="E251" t="s">
        <v>20</v>
      </c>
      <c r="F251" t="s">
        <v>21</v>
      </c>
      <c r="G251">
        <v>41</v>
      </c>
      <c r="H251" s="3">
        <v>4.9000000000000004</v>
      </c>
      <c r="I251" s="3">
        <v>200.9</v>
      </c>
    </row>
    <row r="252" spans="1:9" x14ac:dyDescent="0.3">
      <c r="A252" t="s">
        <v>289</v>
      </c>
      <c r="B252" s="2">
        <v>46280</v>
      </c>
      <c r="C252" s="2" t="str">
        <f t="shared" si="3"/>
        <v>Sep</v>
      </c>
      <c r="D252" t="s">
        <v>57</v>
      </c>
      <c r="E252" t="s">
        <v>24</v>
      </c>
      <c r="F252" t="s">
        <v>21</v>
      </c>
      <c r="G252">
        <v>105</v>
      </c>
      <c r="H252" s="3">
        <v>9.66</v>
      </c>
      <c r="I252" s="3">
        <v>1014.3</v>
      </c>
    </row>
    <row r="253" spans="1:9" x14ac:dyDescent="0.3">
      <c r="A253" t="s">
        <v>290</v>
      </c>
      <c r="B253" s="2">
        <v>46281</v>
      </c>
      <c r="C253" s="2" t="str">
        <f t="shared" si="3"/>
        <v>Sep</v>
      </c>
      <c r="D253" t="s">
        <v>27</v>
      </c>
      <c r="E253" t="s">
        <v>28</v>
      </c>
      <c r="F253" t="s">
        <v>21</v>
      </c>
      <c r="G253">
        <v>103</v>
      </c>
      <c r="H253" s="3">
        <v>5.73</v>
      </c>
      <c r="I253" s="3">
        <v>590.19000000000005</v>
      </c>
    </row>
    <row r="254" spans="1:9" x14ac:dyDescent="0.3">
      <c r="A254" t="s">
        <v>291</v>
      </c>
      <c r="B254" s="2">
        <v>46282</v>
      </c>
      <c r="C254" s="2" t="str">
        <f t="shared" si="3"/>
        <v>Sep</v>
      </c>
      <c r="D254" t="s">
        <v>30</v>
      </c>
      <c r="E254" t="s">
        <v>10</v>
      </c>
      <c r="F254" t="s">
        <v>21</v>
      </c>
      <c r="G254">
        <v>90</v>
      </c>
      <c r="H254" s="3">
        <v>11.19</v>
      </c>
      <c r="I254" s="3">
        <v>1007.1</v>
      </c>
    </row>
    <row r="255" spans="1:9" x14ac:dyDescent="0.3">
      <c r="A255" t="s">
        <v>292</v>
      </c>
      <c r="B255" s="2">
        <v>46283</v>
      </c>
      <c r="C255" s="2" t="str">
        <f t="shared" si="3"/>
        <v>Sep</v>
      </c>
      <c r="D255" t="s">
        <v>27</v>
      </c>
      <c r="E255" t="s">
        <v>28</v>
      </c>
      <c r="F255" t="s">
        <v>21</v>
      </c>
      <c r="G255">
        <v>53</v>
      </c>
      <c r="H255" s="3">
        <v>6.48</v>
      </c>
      <c r="I255" s="3">
        <v>343.44</v>
      </c>
    </row>
    <row r="256" spans="1:9" x14ac:dyDescent="0.3">
      <c r="A256" t="s">
        <v>293</v>
      </c>
      <c r="B256" s="2">
        <v>46284</v>
      </c>
      <c r="C256" s="2" t="str">
        <f t="shared" si="3"/>
        <v>Sep</v>
      </c>
      <c r="D256" t="s">
        <v>59</v>
      </c>
      <c r="E256" t="s">
        <v>39</v>
      </c>
      <c r="F256" t="s">
        <v>11</v>
      </c>
      <c r="G256">
        <v>41</v>
      </c>
      <c r="H256" s="3">
        <v>13.14</v>
      </c>
      <c r="I256" s="3">
        <v>538.74</v>
      </c>
    </row>
    <row r="257" spans="1:9" x14ac:dyDescent="0.3">
      <c r="A257" t="s">
        <v>294</v>
      </c>
      <c r="B257" s="2">
        <v>46285</v>
      </c>
      <c r="C257" s="2" t="str">
        <f t="shared" si="3"/>
        <v>Sep</v>
      </c>
      <c r="D257" t="s">
        <v>55</v>
      </c>
      <c r="E257" t="s">
        <v>36</v>
      </c>
      <c r="F257" t="s">
        <v>21</v>
      </c>
      <c r="G257">
        <v>71</v>
      </c>
      <c r="H257" s="3">
        <v>10.37</v>
      </c>
      <c r="I257" s="3">
        <v>736.27</v>
      </c>
    </row>
    <row r="258" spans="1:9" x14ac:dyDescent="0.3">
      <c r="A258" t="s">
        <v>295</v>
      </c>
      <c r="B258" s="2">
        <v>46286</v>
      </c>
      <c r="C258" s="2" t="str">
        <f t="shared" si="3"/>
        <v>Sep</v>
      </c>
      <c r="D258" t="s">
        <v>30</v>
      </c>
      <c r="E258" t="s">
        <v>10</v>
      </c>
      <c r="F258" t="s">
        <v>21</v>
      </c>
      <c r="G258">
        <v>72</v>
      </c>
      <c r="H258" s="3">
        <v>11.04</v>
      </c>
      <c r="I258" s="3">
        <v>794.88</v>
      </c>
    </row>
    <row r="259" spans="1:9" x14ac:dyDescent="0.3">
      <c r="A259" t="s">
        <v>296</v>
      </c>
      <c r="B259" s="2">
        <v>46287</v>
      </c>
      <c r="C259" s="2" t="str">
        <f t="shared" ref="C259:C301" si="4">TEXT(B259,"mmm")</f>
        <v>Sep</v>
      </c>
      <c r="D259" t="s">
        <v>82</v>
      </c>
      <c r="E259" t="s">
        <v>28</v>
      </c>
      <c r="F259" t="s">
        <v>11</v>
      </c>
      <c r="G259">
        <v>114</v>
      </c>
      <c r="H259" s="3">
        <v>15.02</v>
      </c>
      <c r="I259" s="3">
        <v>1712.28</v>
      </c>
    </row>
    <row r="260" spans="1:9" x14ac:dyDescent="0.3">
      <c r="A260" t="s">
        <v>297</v>
      </c>
      <c r="B260" s="2">
        <v>46288</v>
      </c>
      <c r="C260" s="2" t="str">
        <f t="shared" si="4"/>
        <v>Sep</v>
      </c>
      <c r="D260" t="s">
        <v>16</v>
      </c>
      <c r="E260" t="s">
        <v>17</v>
      </c>
      <c r="F260" t="s">
        <v>11</v>
      </c>
      <c r="G260">
        <v>34</v>
      </c>
      <c r="H260" s="3">
        <v>24.22</v>
      </c>
      <c r="I260" s="3">
        <v>823.48</v>
      </c>
    </row>
    <row r="261" spans="1:9" x14ac:dyDescent="0.3">
      <c r="A261" t="s">
        <v>298</v>
      </c>
      <c r="B261" s="2">
        <v>46289</v>
      </c>
      <c r="C261" s="2" t="str">
        <f t="shared" si="4"/>
        <v>Sep</v>
      </c>
      <c r="D261" t="s">
        <v>27</v>
      </c>
      <c r="E261" t="s">
        <v>28</v>
      </c>
      <c r="F261" t="s">
        <v>21</v>
      </c>
      <c r="G261">
        <v>71</v>
      </c>
      <c r="H261" s="3">
        <v>5.79</v>
      </c>
      <c r="I261" s="3">
        <v>411.09</v>
      </c>
    </row>
    <row r="262" spans="1:9" x14ac:dyDescent="0.3">
      <c r="A262" t="s">
        <v>299</v>
      </c>
      <c r="B262" s="2">
        <v>46290</v>
      </c>
      <c r="C262" s="2" t="str">
        <f t="shared" si="4"/>
        <v>Sep</v>
      </c>
      <c r="D262" t="s">
        <v>157</v>
      </c>
      <c r="E262" t="s">
        <v>64</v>
      </c>
      <c r="F262" t="s">
        <v>21</v>
      </c>
      <c r="G262">
        <v>140</v>
      </c>
      <c r="H262" s="3">
        <v>7.12</v>
      </c>
      <c r="I262" s="3">
        <v>996.8</v>
      </c>
    </row>
    <row r="263" spans="1:9" x14ac:dyDescent="0.3">
      <c r="A263" t="s">
        <v>300</v>
      </c>
      <c r="B263" s="2">
        <v>46291</v>
      </c>
      <c r="C263" s="2" t="str">
        <f t="shared" si="4"/>
        <v>Sep</v>
      </c>
      <c r="D263" t="s">
        <v>16</v>
      </c>
      <c r="E263" t="s">
        <v>17</v>
      </c>
      <c r="F263" t="s">
        <v>11</v>
      </c>
      <c r="G263">
        <v>89</v>
      </c>
      <c r="H263" s="3">
        <v>24.09</v>
      </c>
      <c r="I263" s="3">
        <v>2144.0100000000002</v>
      </c>
    </row>
    <row r="264" spans="1:9" x14ac:dyDescent="0.3">
      <c r="A264" t="s">
        <v>301</v>
      </c>
      <c r="B264" s="2">
        <v>46292</v>
      </c>
      <c r="C264" s="2" t="str">
        <f t="shared" si="4"/>
        <v>Sep</v>
      </c>
      <c r="D264" t="s">
        <v>70</v>
      </c>
      <c r="E264" t="s">
        <v>17</v>
      </c>
      <c r="F264" t="s">
        <v>21</v>
      </c>
      <c r="G264">
        <v>76</v>
      </c>
      <c r="H264" s="3">
        <v>16.5</v>
      </c>
      <c r="I264" s="3">
        <v>1254</v>
      </c>
    </row>
    <row r="265" spans="1:9" x14ac:dyDescent="0.3">
      <c r="A265" t="s">
        <v>302</v>
      </c>
      <c r="B265" s="2">
        <v>46293</v>
      </c>
      <c r="C265" s="2" t="str">
        <f t="shared" si="4"/>
        <v>Sep</v>
      </c>
      <c r="D265" t="s">
        <v>38</v>
      </c>
      <c r="E265" t="s">
        <v>39</v>
      </c>
      <c r="F265" t="s">
        <v>21</v>
      </c>
      <c r="G265">
        <v>127</v>
      </c>
      <c r="H265" s="3">
        <v>5.74</v>
      </c>
      <c r="I265" s="3">
        <v>728.98</v>
      </c>
    </row>
    <row r="266" spans="1:9" x14ac:dyDescent="0.3">
      <c r="A266" t="s">
        <v>303</v>
      </c>
      <c r="B266" s="2">
        <v>46294</v>
      </c>
      <c r="C266" s="2" t="str">
        <f t="shared" si="4"/>
        <v>Sep</v>
      </c>
      <c r="D266" t="s">
        <v>16</v>
      </c>
      <c r="E266" t="s">
        <v>17</v>
      </c>
      <c r="F266" t="s">
        <v>11</v>
      </c>
      <c r="G266">
        <v>46</v>
      </c>
      <c r="H266" s="3">
        <v>25.69</v>
      </c>
      <c r="I266" s="3">
        <v>1181.74</v>
      </c>
    </row>
    <row r="267" spans="1:9" x14ac:dyDescent="0.3">
      <c r="A267" t="s">
        <v>304</v>
      </c>
      <c r="B267" s="2">
        <v>46295</v>
      </c>
      <c r="C267" s="2" t="str">
        <f t="shared" si="4"/>
        <v>Sep</v>
      </c>
      <c r="D267" t="s">
        <v>59</v>
      </c>
      <c r="E267" t="s">
        <v>39</v>
      </c>
      <c r="F267" t="s">
        <v>11</v>
      </c>
      <c r="G267">
        <v>45</v>
      </c>
      <c r="H267" s="3">
        <v>12.4</v>
      </c>
      <c r="I267" s="3">
        <v>558</v>
      </c>
    </row>
    <row r="268" spans="1:9" x14ac:dyDescent="0.3">
      <c r="A268" t="s">
        <v>305</v>
      </c>
      <c r="B268" s="2">
        <v>46296</v>
      </c>
      <c r="C268" s="2" t="str">
        <f t="shared" si="4"/>
        <v>Oct</v>
      </c>
      <c r="D268" t="s">
        <v>23</v>
      </c>
      <c r="E268" t="s">
        <v>24</v>
      </c>
      <c r="F268" t="s">
        <v>11</v>
      </c>
      <c r="G268">
        <v>132</v>
      </c>
      <c r="H268" s="3">
        <v>16.68</v>
      </c>
      <c r="I268" s="3">
        <v>2201.7600000000002</v>
      </c>
    </row>
    <row r="269" spans="1:9" x14ac:dyDescent="0.3">
      <c r="A269" t="s">
        <v>306</v>
      </c>
      <c r="B269" s="2">
        <v>46297</v>
      </c>
      <c r="C269" s="2" t="str">
        <f t="shared" si="4"/>
        <v>Oct</v>
      </c>
      <c r="D269" t="s">
        <v>82</v>
      </c>
      <c r="E269" t="s">
        <v>28</v>
      </c>
      <c r="F269" t="s">
        <v>11</v>
      </c>
      <c r="G269">
        <v>100</v>
      </c>
      <c r="H269" s="3">
        <v>13.32</v>
      </c>
      <c r="I269" s="3">
        <v>1332</v>
      </c>
    </row>
    <row r="270" spans="1:9" x14ac:dyDescent="0.3">
      <c r="A270" t="s">
        <v>307</v>
      </c>
      <c r="B270" s="2">
        <v>46298</v>
      </c>
      <c r="C270" s="2" t="str">
        <f t="shared" si="4"/>
        <v>Oct</v>
      </c>
      <c r="D270" t="s">
        <v>41</v>
      </c>
      <c r="E270" t="s">
        <v>20</v>
      </c>
      <c r="F270" t="s">
        <v>21</v>
      </c>
      <c r="G270">
        <v>58</v>
      </c>
      <c r="H270" s="3">
        <v>7.55</v>
      </c>
      <c r="I270" s="3">
        <v>437.9</v>
      </c>
    </row>
    <row r="271" spans="1:9" x14ac:dyDescent="0.3">
      <c r="A271" t="s">
        <v>308</v>
      </c>
      <c r="B271" s="2">
        <v>46299</v>
      </c>
      <c r="C271" s="2" t="str">
        <f t="shared" si="4"/>
        <v>Oct</v>
      </c>
      <c r="D271" t="s">
        <v>38</v>
      </c>
      <c r="E271" t="s">
        <v>39</v>
      </c>
      <c r="F271" t="s">
        <v>21</v>
      </c>
      <c r="G271">
        <v>45</v>
      </c>
      <c r="H271" s="3">
        <v>6.21</v>
      </c>
      <c r="I271" s="3">
        <v>279.45</v>
      </c>
    </row>
    <row r="272" spans="1:9" x14ac:dyDescent="0.3">
      <c r="A272" t="s">
        <v>309</v>
      </c>
      <c r="B272" s="2">
        <v>46300</v>
      </c>
      <c r="C272" s="2" t="str">
        <f t="shared" si="4"/>
        <v>Oct</v>
      </c>
      <c r="D272" t="s">
        <v>59</v>
      </c>
      <c r="E272" t="s">
        <v>39</v>
      </c>
      <c r="F272" t="s">
        <v>11</v>
      </c>
      <c r="G272">
        <v>149</v>
      </c>
      <c r="H272" s="3">
        <v>13.56</v>
      </c>
      <c r="I272" s="3">
        <v>2020.44</v>
      </c>
    </row>
    <row r="273" spans="1:9" x14ac:dyDescent="0.3">
      <c r="A273" t="s">
        <v>310</v>
      </c>
      <c r="B273" s="2">
        <v>46301</v>
      </c>
      <c r="C273" s="2" t="str">
        <f t="shared" si="4"/>
        <v>Oct</v>
      </c>
      <c r="D273" t="s">
        <v>27</v>
      </c>
      <c r="E273" t="s">
        <v>28</v>
      </c>
      <c r="F273" t="s">
        <v>21</v>
      </c>
      <c r="G273">
        <v>83</v>
      </c>
      <c r="H273" s="3">
        <v>6.35</v>
      </c>
      <c r="I273" s="3">
        <v>527.04999999999995</v>
      </c>
    </row>
    <row r="274" spans="1:9" x14ac:dyDescent="0.3">
      <c r="A274" t="s">
        <v>311</v>
      </c>
      <c r="B274" s="2">
        <v>46302</v>
      </c>
      <c r="C274" s="2" t="str">
        <f t="shared" si="4"/>
        <v>Oct</v>
      </c>
      <c r="D274" t="s">
        <v>13</v>
      </c>
      <c r="E274" t="s">
        <v>14</v>
      </c>
      <c r="F274" t="s">
        <v>11</v>
      </c>
      <c r="G274">
        <v>88</v>
      </c>
      <c r="H274" s="3">
        <v>15.32</v>
      </c>
      <c r="I274" s="3">
        <v>1348.16</v>
      </c>
    </row>
    <row r="275" spans="1:9" x14ac:dyDescent="0.3">
      <c r="A275" t="s">
        <v>312</v>
      </c>
      <c r="B275" s="2">
        <v>46303</v>
      </c>
      <c r="C275" s="2" t="str">
        <f t="shared" si="4"/>
        <v>Oct</v>
      </c>
      <c r="D275" t="s">
        <v>44</v>
      </c>
      <c r="E275" t="s">
        <v>14</v>
      </c>
      <c r="F275" t="s">
        <v>21</v>
      </c>
      <c r="G275">
        <v>147</v>
      </c>
      <c r="H275" s="3">
        <v>8.2200000000000006</v>
      </c>
      <c r="I275" s="3">
        <v>1208.3399999999999</v>
      </c>
    </row>
    <row r="276" spans="1:9" x14ac:dyDescent="0.3">
      <c r="A276" t="s">
        <v>313</v>
      </c>
      <c r="B276" s="2">
        <v>46304</v>
      </c>
      <c r="C276" s="2" t="str">
        <f t="shared" si="4"/>
        <v>Oct</v>
      </c>
      <c r="D276" t="s">
        <v>32</v>
      </c>
      <c r="E276" t="s">
        <v>10</v>
      </c>
      <c r="F276" t="s">
        <v>21</v>
      </c>
      <c r="G276">
        <v>140</v>
      </c>
      <c r="H276" s="3">
        <v>8.6300000000000008</v>
      </c>
      <c r="I276" s="3">
        <v>1208.2</v>
      </c>
    </row>
    <row r="277" spans="1:9" x14ac:dyDescent="0.3">
      <c r="A277" t="s">
        <v>314</v>
      </c>
      <c r="B277" s="2">
        <v>46305</v>
      </c>
      <c r="C277" s="2" t="str">
        <f t="shared" si="4"/>
        <v>Oct</v>
      </c>
      <c r="D277" t="s">
        <v>63</v>
      </c>
      <c r="E277" t="s">
        <v>64</v>
      </c>
      <c r="F277" t="s">
        <v>11</v>
      </c>
      <c r="G277">
        <v>73</v>
      </c>
      <c r="H277" s="3">
        <v>23.57</v>
      </c>
      <c r="I277" s="3">
        <v>1720.61</v>
      </c>
    </row>
    <row r="278" spans="1:9" x14ac:dyDescent="0.3">
      <c r="A278" t="s">
        <v>315</v>
      </c>
      <c r="B278" s="2">
        <v>46306</v>
      </c>
      <c r="C278" s="2" t="str">
        <f t="shared" si="4"/>
        <v>Oct</v>
      </c>
      <c r="D278" t="s">
        <v>27</v>
      </c>
      <c r="E278" t="s">
        <v>28</v>
      </c>
      <c r="F278" t="s">
        <v>21</v>
      </c>
      <c r="G278">
        <v>135</v>
      </c>
      <c r="H278" s="3">
        <v>5.7</v>
      </c>
      <c r="I278" s="3">
        <v>769.5</v>
      </c>
    </row>
    <row r="279" spans="1:9" x14ac:dyDescent="0.3">
      <c r="A279" t="s">
        <v>316</v>
      </c>
      <c r="B279" s="2">
        <v>46307</v>
      </c>
      <c r="C279" s="2" t="str">
        <f t="shared" si="4"/>
        <v>Oct</v>
      </c>
      <c r="D279" t="s">
        <v>82</v>
      </c>
      <c r="E279" t="s">
        <v>28</v>
      </c>
      <c r="F279" t="s">
        <v>11</v>
      </c>
      <c r="G279">
        <v>137</v>
      </c>
      <c r="H279" s="3">
        <v>14.37</v>
      </c>
      <c r="I279" s="3">
        <v>1968.69</v>
      </c>
    </row>
    <row r="280" spans="1:9" x14ac:dyDescent="0.3">
      <c r="A280" t="s">
        <v>317</v>
      </c>
      <c r="B280" s="2">
        <v>46308</v>
      </c>
      <c r="C280" s="2" t="str">
        <f t="shared" si="4"/>
        <v>Oct</v>
      </c>
      <c r="D280" t="s">
        <v>59</v>
      </c>
      <c r="E280" t="s">
        <v>39</v>
      </c>
      <c r="F280" t="s">
        <v>11</v>
      </c>
      <c r="G280">
        <v>140</v>
      </c>
      <c r="H280" s="3">
        <v>12.6</v>
      </c>
      <c r="I280" s="3">
        <v>1764</v>
      </c>
    </row>
    <row r="281" spans="1:9" x14ac:dyDescent="0.3">
      <c r="A281" t="s">
        <v>318</v>
      </c>
      <c r="B281" s="2">
        <v>46309</v>
      </c>
      <c r="C281" s="2" t="str">
        <f t="shared" si="4"/>
        <v>Oct</v>
      </c>
      <c r="D281" t="s">
        <v>59</v>
      </c>
      <c r="E281" t="s">
        <v>39</v>
      </c>
      <c r="F281" t="s">
        <v>11</v>
      </c>
      <c r="G281">
        <v>74</v>
      </c>
      <c r="H281" s="3">
        <v>12.91</v>
      </c>
      <c r="I281" s="3">
        <v>955.34</v>
      </c>
    </row>
    <row r="282" spans="1:9" x14ac:dyDescent="0.3">
      <c r="A282" t="s">
        <v>319</v>
      </c>
      <c r="B282" s="2">
        <v>46310</v>
      </c>
      <c r="C282" s="2" t="str">
        <f t="shared" si="4"/>
        <v>Oct</v>
      </c>
      <c r="D282" t="s">
        <v>16</v>
      </c>
      <c r="E282" t="s">
        <v>17</v>
      </c>
      <c r="F282" t="s">
        <v>11</v>
      </c>
      <c r="G282">
        <v>78</v>
      </c>
      <c r="H282" s="3">
        <v>24.22</v>
      </c>
      <c r="I282" s="3">
        <v>1889.16</v>
      </c>
    </row>
    <row r="283" spans="1:9" x14ac:dyDescent="0.3">
      <c r="A283" t="s">
        <v>320</v>
      </c>
      <c r="B283" s="2">
        <v>46311</v>
      </c>
      <c r="C283" s="2" t="str">
        <f t="shared" si="4"/>
        <v>Oct</v>
      </c>
      <c r="D283" t="s">
        <v>44</v>
      </c>
      <c r="E283" t="s">
        <v>14</v>
      </c>
      <c r="F283" t="s">
        <v>21</v>
      </c>
      <c r="G283">
        <v>119</v>
      </c>
      <c r="H283" s="3">
        <v>7.85</v>
      </c>
      <c r="I283" s="3">
        <v>934.15</v>
      </c>
    </row>
    <row r="284" spans="1:9" x14ac:dyDescent="0.3">
      <c r="A284" t="s">
        <v>321</v>
      </c>
      <c r="B284" s="2">
        <v>46312</v>
      </c>
      <c r="C284" s="2" t="str">
        <f t="shared" si="4"/>
        <v>Oct</v>
      </c>
      <c r="D284" t="s">
        <v>13</v>
      </c>
      <c r="E284" t="s">
        <v>14</v>
      </c>
      <c r="F284" t="s">
        <v>11</v>
      </c>
      <c r="G284">
        <v>139</v>
      </c>
      <c r="H284" s="3">
        <v>15.76</v>
      </c>
      <c r="I284" s="3">
        <v>2190.64</v>
      </c>
    </row>
    <row r="285" spans="1:9" x14ac:dyDescent="0.3">
      <c r="A285" t="s">
        <v>322</v>
      </c>
      <c r="B285" s="2">
        <v>46313</v>
      </c>
      <c r="C285" s="2" t="str">
        <f t="shared" si="4"/>
        <v>Oct</v>
      </c>
      <c r="D285" t="s">
        <v>55</v>
      </c>
      <c r="E285" t="s">
        <v>36</v>
      </c>
      <c r="F285" t="s">
        <v>21</v>
      </c>
      <c r="G285">
        <v>125</v>
      </c>
      <c r="H285" s="3">
        <v>10.11</v>
      </c>
      <c r="I285" s="3">
        <v>1263.75</v>
      </c>
    </row>
    <row r="286" spans="1:9" x14ac:dyDescent="0.3">
      <c r="A286" t="s">
        <v>323</v>
      </c>
      <c r="B286" s="2">
        <v>46314</v>
      </c>
      <c r="C286" s="2" t="str">
        <f t="shared" si="4"/>
        <v>Oct</v>
      </c>
      <c r="D286" t="s">
        <v>157</v>
      </c>
      <c r="E286" t="s">
        <v>64</v>
      </c>
      <c r="F286" t="s">
        <v>21</v>
      </c>
      <c r="G286">
        <v>79</v>
      </c>
      <c r="H286" s="3">
        <v>7.55</v>
      </c>
      <c r="I286" s="3">
        <v>596.45000000000005</v>
      </c>
    </row>
    <row r="287" spans="1:9" x14ac:dyDescent="0.3">
      <c r="A287" t="s">
        <v>324</v>
      </c>
      <c r="B287" s="2">
        <v>46315</v>
      </c>
      <c r="C287" s="2" t="str">
        <f t="shared" si="4"/>
        <v>Oct</v>
      </c>
      <c r="D287" t="s">
        <v>32</v>
      </c>
      <c r="E287" t="s">
        <v>10</v>
      </c>
      <c r="F287" t="s">
        <v>21</v>
      </c>
      <c r="G287">
        <v>93</v>
      </c>
      <c r="H287" s="3">
        <v>9.68</v>
      </c>
      <c r="I287" s="3">
        <v>900.24</v>
      </c>
    </row>
    <row r="288" spans="1:9" x14ac:dyDescent="0.3">
      <c r="A288" t="s">
        <v>325</v>
      </c>
      <c r="B288" s="2">
        <v>46316</v>
      </c>
      <c r="C288" s="2" t="str">
        <f t="shared" si="4"/>
        <v>Oct</v>
      </c>
      <c r="D288" t="s">
        <v>70</v>
      </c>
      <c r="E288" t="s">
        <v>17</v>
      </c>
      <c r="F288" t="s">
        <v>21</v>
      </c>
      <c r="G288">
        <v>105</v>
      </c>
      <c r="H288" s="3">
        <v>15.89</v>
      </c>
      <c r="I288" s="3">
        <v>1668.45</v>
      </c>
    </row>
    <row r="289" spans="1:9" x14ac:dyDescent="0.3">
      <c r="A289" t="s">
        <v>326</v>
      </c>
      <c r="B289" s="2">
        <v>46317</v>
      </c>
      <c r="C289" s="2" t="str">
        <f t="shared" si="4"/>
        <v>Oct</v>
      </c>
      <c r="D289" t="s">
        <v>38</v>
      </c>
      <c r="E289" t="s">
        <v>39</v>
      </c>
      <c r="F289" t="s">
        <v>21</v>
      </c>
      <c r="G289">
        <v>42</v>
      </c>
      <c r="H289" s="3">
        <v>6.11</v>
      </c>
      <c r="I289" s="3">
        <v>256.62</v>
      </c>
    </row>
    <row r="290" spans="1:9" x14ac:dyDescent="0.3">
      <c r="A290" t="s">
        <v>327</v>
      </c>
      <c r="B290" s="2">
        <v>46318</v>
      </c>
      <c r="C290" s="2" t="str">
        <f t="shared" si="4"/>
        <v>Oct</v>
      </c>
      <c r="D290" t="s">
        <v>19</v>
      </c>
      <c r="E290" t="s">
        <v>20</v>
      </c>
      <c r="F290" t="s">
        <v>21</v>
      </c>
      <c r="G290">
        <v>122</v>
      </c>
      <c r="H290" s="3">
        <v>4.84</v>
      </c>
      <c r="I290" s="3">
        <v>590.48</v>
      </c>
    </row>
    <row r="291" spans="1:9" x14ac:dyDescent="0.3">
      <c r="A291" t="s">
        <v>328</v>
      </c>
      <c r="B291" s="2">
        <v>46319</v>
      </c>
      <c r="C291" s="2" t="str">
        <f t="shared" si="4"/>
        <v>Oct</v>
      </c>
      <c r="D291" t="s">
        <v>32</v>
      </c>
      <c r="E291" t="s">
        <v>10</v>
      </c>
      <c r="F291" t="s">
        <v>21</v>
      </c>
      <c r="G291">
        <v>39</v>
      </c>
      <c r="H291" s="3">
        <v>9.1</v>
      </c>
      <c r="I291" s="3">
        <v>354.9</v>
      </c>
    </row>
    <row r="292" spans="1:9" x14ac:dyDescent="0.3">
      <c r="A292" t="s">
        <v>329</v>
      </c>
      <c r="B292" s="2">
        <v>46320</v>
      </c>
      <c r="C292" s="2" t="str">
        <f t="shared" si="4"/>
        <v>Oct</v>
      </c>
      <c r="D292" t="s">
        <v>55</v>
      </c>
      <c r="E292" t="s">
        <v>36</v>
      </c>
      <c r="F292" t="s">
        <v>21</v>
      </c>
      <c r="G292">
        <v>109</v>
      </c>
      <c r="H292" s="3">
        <v>10.4</v>
      </c>
      <c r="I292" s="3">
        <v>1133.5999999999999</v>
      </c>
    </row>
    <row r="293" spans="1:9" x14ac:dyDescent="0.3">
      <c r="A293" t="s">
        <v>330</v>
      </c>
      <c r="B293" s="2">
        <v>46321</v>
      </c>
      <c r="C293" s="2" t="str">
        <f t="shared" si="4"/>
        <v>Oct</v>
      </c>
      <c r="D293" t="s">
        <v>41</v>
      </c>
      <c r="E293" t="s">
        <v>20</v>
      </c>
      <c r="F293" t="s">
        <v>21</v>
      </c>
      <c r="G293">
        <v>139</v>
      </c>
      <c r="H293" s="3">
        <v>6.95</v>
      </c>
      <c r="I293" s="3">
        <v>966.05</v>
      </c>
    </row>
    <row r="294" spans="1:9" x14ac:dyDescent="0.3">
      <c r="A294" t="s">
        <v>331</v>
      </c>
      <c r="B294" s="2">
        <v>46322</v>
      </c>
      <c r="C294" s="2" t="str">
        <f t="shared" si="4"/>
        <v>Oct</v>
      </c>
      <c r="D294" t="s">
        <v>16</v>
      </c>
      <c r="E294" t="s">
        <v>17</v>
      </c>
      <c r="F294" t="s">
        <v>11</v>
      </c>
      <c r="G294">
        <v>78</v>
      </c>
      <c r="H294" s="3">
        <v>25.78</v>
      </c>
      <c r="I294" s="3">
        <v>2010.84</v>
      </c>
    </row>
    <row r="295" spans="1:9" x14ac:dyDescent="0.3">
      <c r="A295" t="s">
        <v>332</v>
      </c>
      <c r="B295" s="2">
        <v>46323</v>
      </c>
      <c r="C295" s="2" t="str">
        <f t="shared" si="4"/>
        <v>Oct</v>
      </c>
      <c r="D295" t="s">
        <v>59</v>
      </c>
      <c r="E295" t="s">
        <v>39</v>
      </c>
      <c r="F295" t="s">
        <v>11</v>
      </c>
      <c r="G295">
        <v>141</v>
      </c>
      <c r="H295" s="3">
        <v>13.26</v>
      </c>
      <c r="I295" s="3">
        <v>1869.66</v>
      </c>
    </row>
    <row r="296" spans="1:9" x14ac:dyDescent="0.3">
      <c r="A296" t="s">
        <v>333</v>
      </c>
      <c r="B296" s="2">
        <v>46324</v>
      </c>
      <c r="C296" s="2" t="str">
        <f t="shared" si="4"/>
        <v>Oct</v>
      </c>
      <c r="D296" t="s">
        <v>41</v>
      </c>
      <c r="E296" t="s">
        <v>20</v>
      </c>
      <c r="F296" t="s">
        <v>21</v>
      </c>
      <c r="G296">
        <v>60</v>
      </c>
      <c r="H296" s="3">
        <v>7.22</v>
      </c>
      <c r="I296" s="3">
        <v>433.2</v>
      </c>
    </row>
    <row r="297" spans="1:9" x14ac:dyDescent="0.3">
      <c r="A297" t="s">
        <v>334</v>
      </c>
      <c r="B297" s="2">
        <v>46325</v>
      </c>
      <c r="C297" s="2" t="str">
        <f t="shared" si="4"/>
        <v>Oct</v>
      </c>
      <c r="D297" t="s">
        <v>13</v>
      </c>
      <c r="E297" t="s">
        <v>14</v>
      </c>
      <c r="F297" t="s">
        <v>11</v>
      </c>
      <c r="G297">
        <v>125</v>
      </c>
      <c r="H297" s="3">
        <v>14.43</v>
      </c>
      <c r="I297" s="3">
        <v>1803.75</v>
      </c>
    </row>
    <row r="298" spans="1:9" x14ac:dyDescent="0.3">
      <c r="A298" t="s">
        <v>335</v>
      </c>
      <c r="B298" s="2">
        <v>46326</v>
      </c>
      <c r="C298" s="2" t="str">
        <f t="shared" si="4"/>
        <v>Oct</v>
      </c>
      <c r="D298" t="s">
        <v>9</v>
      </c>
      <c r="E298" t="s">
        <v>10</v>
      </c>
      <c r="F298" t="s">
        <v>11</v>
      </c>
      <c r="G298">
        <v>86</v>
      </c>
      <c r="H298" s="3">
        <v>17.489999999999998</v>
      </c>
      <c r="I298" s="3">
        <v>1504.14</v>
      </c>
    </row>
    <row r="299" spans="1:9" x14ac:dyDescent="0.3">
      <c r="A299" t="s">
        <v>336</v>
      </c>
      <c r="B299" s="2">
        <v>46327</v>
      </c>
      <c r="C299" s="2" t="str">
        <f t="shared" si="4"/>
        <v>Nov</v>
      </c>
      <c r="D299" t="s">
        <v>19</v>
      </c>
      <c r="E299" t="s">
        <v>20</v>
      </c>
      <c r="F299" t="s">
        <v>21</v>
      </c>
      <c r="G299">
        <v>35</v>
      </c>
      <c r="H299" s="3">
        <v>4.96</v>
      </c>
      <c r="I299" s="3">
        <v>173.6</v>
      </c>
    </row>
    <row r="300" spans="1:9" x14ac:dyDescent="0.3">
      <c r="A300" t="s">
        <v>337</v>
      </c>
      <c r="B300" s="2">
        <v>46328</v>
      </c>
      <c r="C300" s="2" t="str">
        <f t="shared" si="4"/>
        <v>Nov</v>
      </c>
      <c r="D300" t="s">
        <v>82</v>
      </c>
      <c r="E300" t="s">
        <v>28</v>
      </c>
      <c r="F300" t="s">
        <v>11</v>
      </c>
      <c r="G300">
        <v>75</v>
      </c>
      <c r="H300" s="3">
        <v>13.98</v>
      </c>
      <c r="I300" s="3">
        <v>1048.5</v>
      </c>
    </row>
    <row r="301" spans="1:9" x14ac:dyDescent="0.3">
      <c r="A301" t="s">
        <v>338</v>
      </c>
      <c r="B301" s="2">
        <v>46329</v>
      </c>
      <c r="C301" s="2" t="str">
        <f t="shared" si="4"/>
        <v>Nov</v>
      </c>
      <c r="D301" t="s">
        <v>13</v>
      </c>
      <c r="E301" t="s">
        <v>14</v>
      </c>
      <c r="F301" t="s">
        <v>11</v>
      </c>
      <c r="G301">
        <v>97</v>
      </c>
      <c r="H301" s="3">
        <v>15.05</v>
      </c>
      <c r="I301" s="3">
        <v>1459.85</v>
      </c>
    </row>
    <row r="302" spans="1:9" x14ac:dyDescent="0.3">
      <c r="A302" s="1"/>
      <c r="B302" s="2"/>
      <c r="C302" s="2"/>
      <c r="D302" s="1"/>
      <c r="E302" s="1"/>
      <c r="F302" s="1"/>
      <c r="G302" s="1"/>
      <c r="H302" s="1"/>
      <c r="I302" s="1"/>
    </row>
  </sheetData>
  <autoFilter ref="A1:I302" xr:uid="{00000000-0001-0000-0000-000000000000}"/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F4FE-6E0E-4837-BE0E-3D9179F7CEC0}">
  <dimension ref="E1:L40"/>
  <sheetViews>
    <sheetView topLeftCell="D11" workbookViewId="0">
      <selection activeCell="L30" sqref="L30"/>
    </sheetView>
  </sheetViews>
  <sheetFormatPr defaultRowHeight="14.4" x14ac:dyDescent="0.3"/>
  <cols>
    <col min="5" max="5" width="32.6640625" bestFit="1" customWidth="1"/>
    <col min="6" max="6" width="12.88671875" bestFit="1" customWidth="1"/>
    <col min="8" max="8" width="18.5546875" bestFit="1" customWidth="1"/>
    <col min="9" max="9" width="14.6640625" bestFit="1" customWidth="1"/>
    <col min="10" max="10" width="19.6640625" bestFit="1" customWidth="1"/>
    <col min="11" max="12" width="17" bestFit="1" customWidth="1"/>
    <col min="13" max="13" width="24.44140625" bestFit="1" customWidth="1"/>
    <col min="14" max="14" width="21.88671875" bestFit="1" customWidth="1"/>
    <col min="15" max="92" width="15.5546875" bestFit="1" customWidth="1"/>
    <col min="93" max="93" width="12.77734375" bestFit="1" customWidth="1"/>
    <col min="94" max="185" width="9.33203125" bestFit="1" customWidth="1"/>
    <col min="186" max="186" width="12" bestFit="1" customWidth="1"/>
    <col min="187" max="187" width="10.77734375" bestFit="1" customWidth="1"/>
  </cols>
  <sheetData>
    <row r="1" spans="5:12" x14ac:dyDescent="0.3">
      <c r="J1" t="s">
        <v>359</v>
      </c>
    </row>
    <row r="2" spans="5:12" x14ac:dyDescent="0.3">
      <c r="E2" s="9" t="s">
        <v>360</v>
      </c>
      <c r="F2" s="10">
        <v>357121.97000000003</v>
      </c>
      <c r="J2" t="s">
        <v>358</v>
      </c>
    </row>
    <row r="3" spans="5:12" x14ac:dyDescent="0.3">
      <c r="E3" s="9" t="s">
        <v>361</v>
      </c>
      <c r="F3" s="11">
        <v>28430</v>
      </c>
      <c r="J3" s="4" t="s">
        <v>339</v>
      </c>
      <c r="K3" t="s">
        <v>343</v>
      </c>
    </row>
    <row r="4" spans="5:12" x14ac:dyDescent="0.3">
      <c r="E4" s="9" t="s">
        <v>362</v>
      </c>
      <c r="F4" s="12">
        <v>300</v>
      </c>
      <c r="J4" s="5" t="s">
        <v>348</v>
      </c>
      <c r="K4" s="7">
        <v>40706.820000000007</v>
      </c>
      <c r="L4" s="8"/>
    </row>
    <row r="5" spans="5:12" x14ac:dyDescent="0.3">
      <c r="E5" s="9" t="s">
        <v>363</v>
      </c>
      <c r="F5" s="12">
        <v>20</v>
      </c>
      <c r="J5" s="5" t="s">
        <v>352</v>
      </c>
      <c r="K5" s="7">
        <v>40542.979999999996</v>
      </c>
    </row>
    <row r="6" spans="5:12" x14ac:dyDescent="0.3">
      <c r="J6" s="5" t="s">
        <v>353</v>
      </c>
      <c r="K6" s="7">
        <v>38700.250000000015</v>
      </c>
    </row>
    <row r="7" spans="5:12" x14ac:dyDescent="0.3">
      <c r="J7" s="5" t="s">
        <v>356</v>
      </c>
      <c r="K7" s="7">
        <v>38107.520000000004</v>
      </c>
    </row>
    <row r="8" spans="5:12" x14ac:dyDescent="0.3">
      <c r="J8" s="5" t="s">
        <v>351</v>
      </c>
      <c r="K8" s="7">
        <v>36473.769999999997</v>
      </c>
    </row>
    <row r="9" spans="5:12" x14ac:dyDescent="0.3">
      <c r="J9" s="5" t="s">
        <v>349</v>
      </c>
      <c r="K9" s="7">
        <v>34909.100000000006</v>
      </c>
    </row>
    <row r="10" spans="5:12" x14ac:dyDescent="0.3">
      <c r="J10" s="5" t="s">
        <v>350</v>
      </c>
      <c r="K10" s="7">
        <v>32944.030000000006</v>
      </c>
    </row>
    <row r="11" spans="5:12" x14ac:dyDescent="0.3">
      <c r="J11" s="5" t="s">
        <v>354</v>
      </c>
      <c r="K11" s="7">
        <v>31512.23</v>
      </c>
    </row>
    <row r="12" spans="5:12" x14ac:dyDescent="0.3">
      <c r="E12" t="s">
        <v>342</v>
      </c>
      <c r="H12" t="s">
        <v>346</v>
      </c>
      <c r="J12" s="5" t="s">
        <v>347</v>
      </c>
      <c r="K12" s="7">
        <v>30813.48</v>
      </c>
    </row>
    <row r="13" spans="5:12" x14ac:dyDescent="0.3">
      <c r="E13" t="s">
        <v>344</v>
      </c>
      <c r="H13" t="s">
        <v>345</v>
      </c>
      <c r="J13" s="5" t="s">
        <v>355</v>
      </c>
      <c r="K13" s="7">
        <v>29729.839999999997</v>
      </c>
    </row>
    <row r="14" spans="5:12" x14ac:dyDescent="0.3">
      <c r="E14" s="4" t="s">
        <v>339</v>
      </c>
      <c r="F14" t="s">
        <v>341</v>
      </c>
      <c r="H14" s="4" t="s">
        <v>339</v>
      </c>
      <c r="I14" s="6" t="s">
        <v>343</v>
      </c>
      <c r="J14" s="5" t="s">
        <v>357</v>
      </c>
      <c r="K14" s="7">
        <v>2681.95</v>
      </c>
    </row>
    <row r="15" spans="5:12" x14ac:dyDescent="0.3">
      <c r="E15" s="5" t="s">
        <v>27</v>
      </c>
      <c r="F15">
        <v>2316</v>
      </c>
      <c r="H15" s="5" t="s">
        <v>16</v>
      </c>
      <c r="I15" s="7">
        <v>47472.75</v>
      </c>
      <c r="J15" s="5" t="s">
        <v>340</v>
      </c>
      <c r="K15" s="7">
        <v>357121.97000000003</v>
      </c>
    </row>
    <row r="16" spans="5:12" x14ac:dyDescent="0.3">
      <c r="E16" s="5" t="s">
        <v>16</v>
      </c>
      <c r="F16">
        <v>1951</v>
      </c>
      <c r="H16" s="5" t="s">
        <v>9</v>
      </c>
      <c r="I16" s="7">
        <v>34879.35</v>
      </c>
    </row>
    <row r="17" spans="5:12" x14ac:dyDescent="0.3">
      <c r="E17" s="5" t="s">
        <v>9</v>
      </c>
      <c r="F17">
        <v>1901</v>
      </c>
      <c r="H17" s="5" t="s">
        <v>13</v>
      </c>
      <c r="I17" s="7">
        <v>28041.799999999996</v>
      </c>
    </row>
    <row r="18" spans="5:12" x14ac:dyDescent="0.3">
      <c r="E18" s="5" t="s">
        <v>13</v>
      </c>
      <c r="F18">
        <v>1885</v>
      </c>
      <c r="H18" s="5" t="s">
        <v>82</v>
      </c>
      <c r="I18" s="7">
        <v>26097.7</v>
      </c>
    </row>
    <row r="19" spans="5:12" x14ac:dyDescent="0.3">
      <c r="E19" s="5" t="s">
        <v>38</v>
      </c>
      <c r="F19">
        <v>1854</v>
      </c>
      <c r="H19" s="5" t="s">
        <v>63</v>
      </c>
      <c r="I19" s="7">
        <v>25243.770000000004</v>
      </c>
    </row>
    <row r="20" spans="5:12" x14ac:dyDescent="0.3">
      <c r="E20" s="5" t="s">
        <v>82</v>
      </c>
      <c r="F20">
        <v>1840</v>
      </c>
      <c r="H20" s="5" t="s">
        <v>23</v>
      </c>
      <c r="I20" s="7">
        <v>20535.809999999998</v>
      </c>
      <c r="K20" s="4" t="s">
        <v>339</v>
      </c>
      <c r="L20" t="s">
        <v>343</v>
      </c>
    </row>
    <row r="21" spans="5:12" x14ac:dyDescent="0.3">
      <c r="E21" s="5" t="s">
        <v>44</v>
      </c>
      <c r="F21">
        <v>1557</v>
      </c>
      <c r="H21" s="5" t="s">
        <v>59</v>
      </c>
      <c r="I21" s="7">
        <v>20168.740000000002</v>
      </c>
      <c r="K21" s="5" t="s">
        <v>20</v>
      </c>
      <c r="L21" s="6">
        <v>29684.19</v>
      </c>
    </row>
    <row r="22" spans="5:12" x14ac:dyDescent="0.3">
      <c r="E22" s="5" t="s">
        <v>59</v>
      </c>
      <c r="F22">
        <v>1518</v>
      </c>
      <c r="H22" s="5" t="s">
        <v>70</v>
      </c>
      <c r="I22" s="7">
        <v>19945.260000000002</v>
      </c>
      <c r="K22" s="5" t="s">
        <v>10</v>
      </c>
      <c r="L22" s="6">
        <v>59981.930000000008</v>
      </c>
    </row>
    <row r="23" spans="5:12" x14ac:dyDescent="0.3">
      <c r="E23" s="5" t="s">
        <v>30</v>
      </c>
      <c r="F23">
        <v>1448</v>
      </c>
      <c r="H23" s="5" t="s">
        <v>30</v>
      </c>
      <c r="I23" s="7">
        <v>16169.89</v>
      </c>
      <c r="K23" s="5" t="s">
        <v>14</v>
      </c>
      <c r="L23" s="6">
        <v>40362.97</v>
      </c>
    </row>
    <row r="24" spans="5:12" x14ac:dyDescent="0.3">
      <c r="E24" s="5" t="s">
        <v>57</v>
      </c>
      <c r="F24">
        <v>1425</v>
      </c>
      <c r="H24" s="5" t="s">
        <v>27</v>
      </c>
      <c r="I24" s="7">
        <v>14129.32</v>
      </c>
      <c r="K24" s="5" t="s">
        <v>39</v>
      </c>
      <c r="L24" s="6">
        <v>31501.08</v>
      </c>
    </row>
    <row r="25" spans="5:12" x14ac:dyDescent="0.3">
      <c r="E25" s="5" t="s">
        <v>41</v>
      </c>
      <c r="F25">
        <v>1349</v>
      </c>
      <c r="H25" s="5" t="s">
        <v>53</v>
      </c>
      <c r="I25" s="7">
        <v>13537.32</v>
      </c>
      <c r="K25" s="5" t="s">
        <v>28</v>
      </c>
      <c r="L25" s="6">
        <v>40227.020000000004</v>
      </c>
    </row>
    <row r="26" spans="5:12" x14ac:dyDescent="0.3">
      <c r="E26" s="5" t="s">
        <v>19</v>
      </c>
      <c r="F26">
        <v>1298</v>
      </c>
      <c r="H26" s="5" t="s">
        <v>57</v>
      </c>
      <c r="I26" s="7">
        <v>13231.92</v>
      </c>
      <c r="K26" s="5" t="s">
        <v>64</v>
      </c>
      <c r="L26" s="6">
        <v>32500.400000000001</v>
      </c>
    </row>
    <row r="27" spans="5:12" x14ac:dyDescent="0.3">
      <c r="E27" s="5" t="s">
        <v>70</v>
      </c>
      <c r="F27">
        <v>1223</v>
      </c>
      <c r="H27" s="5" t="s">
        <v>44</v>
      </c>
      <c r="I27" s="7">
        <v>12321.170000000002</v>
      </c>
      <c r="K27" s="5" t="s">
        <v>17</v>
      </c>
      <c r="L27" s="6">
        <v>67418.009999999995</v>
      </c>
    </row>
    <row r="28" spans="5:12" x14ac:dyDescent="0.3">
      <c r="E28" s="5" t="s">
        <v>23</v>
      </c>
      <c r="F28">
        <v>1208</v>
      </c>
      <c r="H28" s="5" t="s">
        <v>35</v>
      </c>
      <c r="I28" s="7">
        <v>12045.96</v>
      </c>
      <c r="K28" s="5" t="s">
        <v>36</v>
      </c>
      <c r="L28" s="6">
        <v>21678.639999999999</v>
      </c>
    </row>
    <row r="29" spans="5:12" x14ac:dyDescent="0.3">
      <c r="E29" s="5" t="s">
        <v>53</v>
      </c>
      <c r="F29">
        <v>1133</v>
      </c>
      <c r="H29" s="5" t="s">
        <v>38</v>
      </c>
      <c r="I29" s="7">
        <v>11332.34</v>
      </c>
      <c r="K29" s="5" t="s">
        <v>24</v>
      </c>
      <c r="L29" s="6">
        <v>33767.729999999996</v>
      </c>
    </row>
    <row r="30" spans="5:12" x14ac:dyDescent="0.3">
      <c r="E30" s="5" t="s">
        <v>63</v>
      </c>
      <c r="F30">
        <v>1098</v>
      </c>
      <c r="H30" s="5" t="s">
        <v>55</v>
      </c>
      <c r="I30" s="7">
        <v>9632.68</v>
      </c>
      <c r="K30" s="5" t="s">
        <v>340</v>
      </c>
      <c r="L30" s="6">
        <v>357121.97</v>
      </c>
    </row>
    <row r="31" spans="5:12" x14ac:dyDescent="0.3">
      <c r="E31" s="5" t="s">
        <v>157</v>
      </c>
      <c r="F31">
        <v>1029</v>
      </c>
      <c r="H31" s="5" t="s">
        <v>41</v>
      </c>
      <c r="I31" s="7">
        <v>9544.4700000000012</v>
      </c>
      <c r="L31" s="6"/>
    </row>
    <row r="32" spans="5:12" x14ac:dyDescent="0.3">
      <c r="E32" s="5" t="s">
        <v>32</v>
      </c>
      <c r="F32">
        <v>972</v>
      </c>
      <c r="H32" s="5" t="s">
        <v>32</v>
      </c>
      <c r="I32" s="7">
        <v>8932.69</v>
      </c>
    </row>
    <row r="33" spans="5:11" x14ac:dyDescent="0.3">
      <c r="E33" s="5" t="s">
        <v>55</v>
      </c>
      <c r="F33">
        <v>952</v>
      </c>
      <c r="H33" s="5" t="s">
        <v>157</v>
      </c>
      <c r="I33" s="7">
        <v>7256.63</v>
      </c>
    </row>
    <row r="34" spans="5:11" x14ac:dyDescent="0.3">
      <c r="E34" s="5" t="s">
        <v>35</v>
      </c>
      <c r="F34">
        <v>473</v>
      </c>
      <c r="H34" s="5" t="s">
        <v>19</v>
      </c>
      <c r="I34" s="7">
        <v>6602.4</v>
      </c>
    </row>
    <row r="35" spans="5:11" x14ac:dyDescent="0.3">
      <c r="E35" s="5" t="s">
        <v>340</v>
      </c>
      <c r="F35">
        <v>28430</v>
      </c>
      <c r="H35" s="5" t="s">
        <v>340</v>
      </c>
      <c r="I35" s="7">
        <v>357121.97000000009</v>
      </c>
    </row>
    <row r="37" spans="5:11" x14ac:dyDescent="0.3">
      <c r="I37" s="4" t="s">
        <v>339</v>
      </c>
      <c r="J37" t="s">
        <v>341</v>
      </c>
      <c r="K37" t="s">
        <v>343</v>
      </c>
    </row>
    <row r="38" spans="5:11" x14ac:dyDescent="0.3">
      <c r="I38" s="5" t="s">
        <v>11</v>
      </c>
      <c r="J38">
        <v>13007</v>
      </c>
      <c r="K38" s="7">
        <v>228023.20000000007</v>
      </c>
    </row>
    <row r="39" spans="5:11" x14ac:dyDescent="0.3">
      <c r="I39" s="5" t="s">
        <v>21</v>
      </c>
      <c r="J39">
        <v>15423</v>
      </c>
      <c r="K39" s="7">
        <v>129098.77000000009</v>
      </c>
    </row>
    <row r="40" spans="5:11" x14ac:dyDescent="0.3">
      <c r="I40" s="5" t="s">
        <v>340</v>
      </c>
      <c r="J40">
        <v>28430</v>
      </c>
      <c r="K40" s="7">
        <v>357121.97000000015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FC60-CC1A-4410-9E65-B4D4F7800F44}">
  <dimension ref="A1"/>
  <sheetViews>
    <sheetView tabSelected="1" topLeftCell="A3" workbookViewId="0">
      <selection activeCell="C10" sqref="C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 Table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Gowsika Kalingarajan</cp:lastModifiedBy>
  <dcterms:created xsi:type="dcterms:W3CDTF">2026-09-23T11:00:45Z</dcterms:created>
  <dcterms:modified xsi:type="dcterms:W3CDTF">2026-09-24T08:54:49Z</dcterms:modified>
</cp:coreProperties>
</file>